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reddie/Desktop/Year 3/B3/"/>
    </mc:Choice>
  </mc:AlternateContent>
  <xr:revisionPtr revIDLastSave="0" documentId="13_ncr:1_{F1282B51-937C-084E-9427-2CF286152312}" xr6:coauthVersionLast="47" xr6:coauthVersionMax="47" xr10:uidLastSave="{00000000-0000-0000-0000-000000000000}"/>
  <bookViews>
    <workbookView xWindow="20" yWindow="720" windowWidth="22540" windowHeight="18400" activeTab="6" xr2:uid="{00000000-000D-0000-FFFF-FFFF00000000}"/>
  </bookViews>
  <sheets>
    <sheet name="BLD" sheetId="1" r:id="rId1"/>
    <sheet name="ARFL DTU" sheetId="8" r:id="rId2"/>
    <sheet name="ARFL" sheetId="2" r:id="rId3"/>
    <sheet name="Performance" sheetId="3" r:id="rId4"/>
    <sheet name="TipLoss" sheetId="4" r:id="rId5"/>
    <sheet name="OpCurve DTU" sheetId="7" r:id="rId6"/>
    <sheet name="OpCurve" sheetId="5" r:id="rId7"/>
    <sheet name="WindDist" sheetId="6" r:id="rId8"/>
  </sheets>
  <definedNames>
    <definedName name="_xleta.POWER" hidden="1" xlm="1">#NAME?</definedName>
    <definedName name="solver_adj" localSheetId="3" hidden="1">Performance!$G$13</definedName>
    <definedName name="solver_cvg" localSheetId="3" hidden="1">0.000001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Performance!$H$13</definedName>
    <definedName name="solver_pre" localSheetId="3" hidden="1">0.000001</definedName>
    <definedName name="solver_rbv" localSheetId="3" hidden="1">2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5" l="1"/>
  <c r="F14" i="5"/>
  <c r="F15" i="5"/>
  <c r="G10" i="5"/>
  <c r="G11" i="5"/>
  <c r="G12" i="5"/>
  <c r="G13" i="5" s="1"/>
  <c r="G14" i="5" s="1"/>
  <c r="D8" i="1"/>
  <c r="D5" i="1"/>
  <c r="D6" i="1"/>
  <c r="D7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E4" i="1" l="1"/>
  <c r="B44" i="1" l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19" i="1"/>
  <c r="E19" i="1" s="1"/>
  <c r="B20" i="1"/>
  <c r="E20" i="1" s="1"/>
  <c r="B21" i="1"/>
  <c r="E21" i="1" s="1"/>
  <c r="B22" i="1"/>
  <c r="E22" i="1" s="1"/>
  <c r="B23" i="1"/>
  <c r="E23" i="1" s="1"/>
  <c r="B24" i="1"/>
  <c r="E24" i="1" s="1"/>
  <c r="B25" i="1"/>
  <c r="E25" i="1" s="1"/>
  <c r="B26" i="1"/>
  <c r="E26" i="1" s="1"/>
  <c r="B27" i="1"/>
  <c r="E27" i="1" s="1"/>
  <c r="B28" i="1"/>
  <c r="E28" i="1" s="1"/>
  <c r="B29" i="1"/>
  <c r="E29" i="1" s="1"/>
  <c r="B30" i="1"/>
  <c r="E30" i="1" s="1"/>
  <c r="B31" i="1"/>
  <c r="E31" i="1" s="1"/>
  <c r="B32" i="1"/>
  <c r="E32" i="1" s="1"/>
  <c r="B33" i="1"/>
  <c r="E33" i="1" s="1"/>
  <c r="B34" i="1"/>
  <c r="E34" i="1" s="1"/>
  <c r="B35" i="1"/>
  <c r="E35" i="1" s="1"/>
  <c r="B36" i="1"/>
  <c r="E36" i="1" s="1"/>
  <c r="B37" i="1"/>
  <c r="E37" i="1" s="1"/>
  <c r="B38" i="1"/>
  <c r="E38" i="1" s="1"/>
  <c r="B39" i="1"/>
  <c r="E39" i="1" s="1"/>
  <c r="B40" i="1"/>
  <c r="E40" i="1" s="1"/>
  <c r="B41" i="1"/>
  <c r="E41" i="1" s="1"/>
  <c r="B42" i="1"/>
  <c r="E42" i="1" s="1"/>
  <c r="B43" i="1"/>
  <c r="E43" i="1" s="1"/>
  <c r="E44" i="1" s="1"/>
  <c r="B5" i="1"/>
  <c r="E5" i="1" s="1"/>
  <c r="C43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5" i="1"/>
  <c r="B27" i="6"/>
  <c r="B24" i="6"/>
  <c r="B25" i="6"/>
  <c r="B26" i="6"/>
  <c r="D17" i="2"/>
  <c r="B4" i="6"/>
  <c r="D4" i="6" s="1"/>
  <c r="B5" i="6"/>
  <c r="D5" i="6" s="1"/>
  <c r="B6" i="6"/>
  <c r="D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3" i="6"/>
  <c r="D3" i="6" s="1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E2" i="7"/>
  <c r="G19" i="7" s="1"/>
  <c r="B2" i="7"/>
  <c r="E2" i="5"/>
  <c r="B2" i="5"/>
  <c r="B14" i="3"/>
  <c r="B15" i="3" s="1"/>
  <c r="B16" i="3" s="1"/>
  <c r="B17" i="3" s="1"/>
  <c r="B18" i="3" s="1"/>
  <c r="B19" i="3" s="1"/>
  <c r="B20" i="3" s="1"/>
  <c r="B21" i="3" s="1"/>
  <c r="G13" i="7" l="1"/>
  <c r="E16" i="7"/>
  <c r="E23" i="7"/>
  <c r="G20" i="7"/>
  <c r="G21" i="7"/>
  <c r="E8" i="7"/>
  <c r="E15" i="7"/>
  <c r="G4" i="7"/>
  <c r="G5" i="7"/>
  <c r="G12" i="7"/>
  <c r="G4" i="5"/>
  <c r="G7" i="5"/>
  <c r="D20" i="5"/>
  <c r="E20" i="5" s="1"/>
  <c r="D12" i="5"/>
  <c r="E12" i="5" s="1"/>
  <c r="D19" i="5"/>
  <c r="E19" i="5" s="1"/>
  <c r="D11" i="5"/>
  <c r="E11" i="5" s="1"/>
  <c r="G8" i="5"/>
  <c r="E10" i="7"/>
  <c r="E24" i="7"/>
  <c r="G6" i="7"/>
  <c r="G14" i="7"/>
  <c r="G22" i="7"/>
  <c r="D18" i="5"/>
  <c r="E18" i="5" s="1"/>
  <c r="D10" i="5"/>
  <c r="E10" i="5" s="1"/>
  <c r="G9" i="5"/>
  <c r="E18" i="7"/>
  <c r="G7" i="7"/>
  <c r="G15" i="7"/>
  <c r="G23" i="7"/>
  <c r="D25" i="5"/>
  <c r="E25" i="5" s="1"/>
  <c r="D17" i="5"/>
  <c r="E17" i="5" s="1"/>
  <c r="D9" i="5"/>
  <c r="E9" i="5" s="1"/>
  <c r="E5" i="7"/>
  <c r="G8" i="7"/>
  <c r="G16" i="7"/>
  <c r="G24" i="7"/>
  <c r="D24" i="5"/>
  <c r="E24" i="5" s="1"/>
  <c r="D16" i="5"/>
  <c r="E16" i="5" s="1"/>
  <c r="D8" i="5"/>
  <c r="E8" i="5" s="1"/>
  <c r="E13" i="7"/>
  <c r="G9" i="7"/>
  <c r="G17" i="7"/>
  <c r="G25" i="7"/>
  <c r="D23" i="5"/>
  <c r="E23" i="5" s="1"/>
  <c r="D15" i="5"/>
  <c r="E15" i="5" s="1"/>
  <c r="D7" i="5"/>
  <c r="E7" i="5" s="1"/>
  <c r="E21" i="7"/>
  <c r="G10" i="7"/>
  <c r="G18" i="7"/>
  <c r="D22" i="5"/>
  <c r="E22" i="5" s="1"/>
  <c r="D14" i="5"/>
  <c r="E14" i="5" s="1"/>
  <c r="D6" i="5"/>
  <c r="E6" i="5" s="1"/>
  <c r="G5" i="5"/>
  <c r="E7" i="7"/>
  <c r="G11" i="7"/>
  <c r="D21" i="5"/>
  <c r="E21" i="5" s="1"/>
  <c r="D13" i="5"/>
  <c r="E13" i="5" s="1"/>
  <c r="D5" i="5"/>
  <c r="E5" i="5" s="1"/>
  <c r="G6" i="5"/>
  <c r="E11" i="7"/>
  <c r="E19" i="7"/>
  <c r="E6" i="7"/>
  <c r="E14" i="7"/>
  <c r="E22" i="7"/>
  <c r="E9" i="7"/>
  <c r="E17" i="7"/>
  <c r="E25" i="7"/>
  <c r="E4" i="7"/>
  <c r="E12" i="7"/>
  <c r="E20" i="7"/>
  <c r="C10" i="6" l="1"/>
  <c r="D10" i="6" s="1"/>
  <c r="C7" i="6"/>
  <c r="D7" i="6" s="1"/>
  <c r="C12" i="6"/>
  <c r="D12" i="6" s="1"/>
  <c r="C14" i="6"/>
  <c r="D14" i="6" s="1"/>
  <c r="C9" i="6"/>
  <c r="D9" i="6" s="1"/>
  <c r="C13" i="6"/>
  <c r="D13" i="6" s="1"/>
  <c r="C8" i="6"/>
  <c r="D8" i="6" s="1"/>
  <c r="C11" i="6"/>
  <c r="D11" i="6" s="1"/>
  <c r="B5" i="3"/>
  <c r="B9" i="3" s="1"/>
  <c r="D2" i="4"/>
  <c r="B2" i="4"/>
  <c r="B4" i="4"/>
  <c r="A5" i="4"/>
  <c r="A6" i="4"/>
  <c r="A7" i="4"/>
  <c r="A8" i="4"/>
  <c r="A9" i="4"/>
  <c r="A10" i="4"/>
  <c r="A11" i="4"/>
  <c r="A12" i="4"/>
  <c r="A4" i="4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20" i="3"/>
  <c r="C4" i="1"/>
  <c r="D4" i="1" s="1"/>
  <c r="C19" i="3" l="1"/>
  <c r="E19" i="3" s="1"/>
  <c r="D18" i="3"/>
  <c r="B30" i="3" s="1"/>
  <c r="C30" i="3" s="1"/>
  <c r="C20" i="3"/>
  <c r="E20" i="3" s="1"/>
  <c r="D19" i="3"/>
  <c r="B31" i="3" s="1"/>
  <c r="D31" i="3" s="1"/>
  <c r="D16" i="3"/>
  <c r="B28" i="3" s="1"/>
  <c r="D28" i="3" s="1"/>
  <c r="C16" i="3"/>
  <c r="E16" i="3" s="1"/>
  <c r="C15" i="3"/>
  <c r="E15" i="3" s="1"/>
  <c r="D13" i="3"/>
  <c r="B25" i="3" s="1"/>
  <c r="C25" i="3" s="1"/>
  <c r="D14" i="3"/>
  <c r="B26" i="3" s="1"/>
  <c r="C26" i="3" s="1"/>
  <c r="C18" i="3"/>
  <c r="E18" i="3" s="1"/>
  <c r="D17" i="3"/>
  <c r="B29" i="3" s="1"/>
  <c r="C29" i="3" s="1"/>
  <c r="D15" i="3"/>
  <c r="B27" i="3" s="1"/>
  <c r="D27" i="3" s="1"/>
  <c r="C13" i="3"/>
  <c r="E13" i="3" s="1"/>
  <c r="C14" i="3"/>
  <c r="E14" i="3" s="1"/>
  <c r="D21" i="3"/>
  <c r="B33" i="3" s="1"/>
  <c r="C33" i="3" s="1"/>
  <c r="C17" i="3"/>
  <c r="E17" i="3" s="1"/>
  <c r="C21" i="3"/>
  <c r="E21" i="3" s="1"/>
  <c r="B32" i="3"/>
  <c r="D32" i="3" s="1"/>
  <c r="B5" i="4"/>
  <c r="E4" i="4"/>
  <c r="A32" i="3"/>
  <c r="A31" i="3"/>
  <c r="A29" i="3"/>
  <c r="A30" i="3"/>
  <c r="A28" i="3"/>
  <c r="A27" i="3"/>
  <c r="A26" i="3"/>
  <c r="A25" i="3"/>
  <c r="A33" i="3"/>
  <c r="D25" i="3" l="1"/>
  <c r="B37" i="3" s="1"/>
  <c r="O13" i="3" s="1"/>
  <c r="D29" i="3"/>
  <c r="B41" i="3" s="1"/>
  <c r="D26" i="3"/>
  <c r="B38" i="3" s="1"/>
  <c r="D33" i="3"/>
  <c r="A45" i="3" s="1"/>
  <c r="C28" i="3"/>
  <c r="B40" i="3" s="1"/>
  <c r="D30" i="3"/>
  <c r="A42" i="3" s="1"/>
  <c r="C27" i="3"/>
  <c r="A39" i="3" s="1"/>
  <c r="C31" i="3"/>
  <c r="A43" i="3" s="1"/>
  <c r="C32" i="3"/>
  <c r="B44" i="3" s="1"/>
  <c r="E5" i="4"/>
  <c r="B6" i="4"/>
  <c r="A37" i="3" l="1"/>
  <c r="N13" i="3" s="1"/>
  <c r="P13" i="3" s="1"/>
  <c r="A41" i="3"/>
  <c r="J17" i="3" s="1"/>
  <c r="L17" i="3" s="1"/>
  <c r="A38" i="3"/>
  <c r="N14" i="3" s="1"/>
  <c r="P14" i="3" s="1"/>
  <c r="B45" i="3"/>
  <c r="O21" i="3" s="1"/>
  <c r="A40" i="3"/>
  <c r="N16" i="3" s="1"/>
  <c r="P16" i="3" s="1"/>
  <c r="B42" i="3"/>
  <c r="K18" i="3" s="1"/>
  <c r="M18" i="3" s="1"/>
  <c r="B43" i="3"/>
  <c r="K19" i="3" s="1"/>
  <c r="M19" i="3" s="1"/>
  <c r="N18" i="3"/>
  <c r="P18" i="3" s="1"/>
  <c r="J18" i="3"/>
  <c r="L18" i="3" s="1"/>
  <c r="J19" i="3"/>
  <c r="L19" i="3" s="1"/>
  <c r="N19" i="3"/>
  <c r="P19" i="3" s="1"/>
  <c r="J15" i="3"/>
  <c r="L15" i="3" s="1"/>
  <c r="N15" i="3"/>
  <c r="P15" i="3" s="1"/>
  <c r="B39" i="3"/>
  <c r="K15" i="3" s="1"/>
  <c r="M15" i="3" s="1"/>
  <c r="A44" i="3"/>
  <c r="B7" i="4"/>
  <c r="E6" i="4"/>
  <c r="C39" i="3" s="1"/>
  <c r="E39" i="3" s="1"/>
  <c r="N21" i="3"/>
  <c r="P21" i="3" s="1"/>
  <c r="K17" i="3"/>
  <c r="M17" i="3" s="1"/>
  <c r="O17" i="3"/>
  <c r="K14" i="3"/>
  <c r="M14" i="3" s="1"/>
  <c r="O14" i="3"/>
  <c r="K20" i="3"/>
  <c r="M20" i="3" s="1"/>
  <c r="O20" i="3"/>
  <c r="K16" i="3"/>
  <c r="M16" i="3" s="1"/>
  <c r="O16" i="3"/>
  <c r="K13" i="3"/>
  <c r="M13" i="3" s="1"/>
  <c r="J21" i="3"/>
  <c r="L21" i="3" s="1"/>
  <c r="D38" i="3"/>
  <c r="F38" i="3" s="1"/>
  <c r="D37" i="3"/>
  <c r="F37" i="3" s="1"/>
  <c r="C37" i="3" l="1"/>
  <c r="E37" i="3" s="1"/>
  <c r="H13" i="3" s="1"/>
  <c r="J13" i="3"/>
  <c r="L13" i="3" s="1"/>
  <c r="R13" i="3"/>
  <c r="N17" i="3"/>
  <c r="P17" i="3" s="1"/>
  <c r="C38" i="3"/>
  <c r="E38" i="3" s="1"/>
  <c r="H14" i="3" s="1"/>
  <c r="K21" i="3"/>
  <c r="M21" i="3" s="1"/>
  <c r="Q21" i="3" s="1"/>
  <c r="J14" i="3"/>
  <c r="L14" i="3" s="1"/>
  <c r="O18" i="3"/>
  <c r="O19" i="3"/>
  <c r="J16" i="3"/>
  <c r="L16" i="3" s="1"/>
  <c r="O15" i="3"/>
  <c r="J20" i="3"/>
  <c r="L20" i="3" s="1"/>
  <c r="N20" i="3"/>
  <c r="P20" i="3" s="1"/>
  <c r="D39" i="3"/>
  <c r="F39" i="3" s="1"/>
  <c r="H15" i="3" s="1"/>
  <c r="B8" i="4"/>
  <c r="E7" i="4"/>
  <c r="Q14" i="3"/>
  <c r="R14" i="3"/>
  <c r="Q17" i="3"/>
  <c r="R17" i="3"/>
  <c r="Q20" i="3"/>
  <c r="R20" i="3"/>
  <c r="Q15" i="3"/>
  <c r="R15" i="3"/>
  <c r="Q19" i="3"/>
  <c r="R19" i="3"/>
  <c r="Q18" i="3"/>
  <c r="R18" i="3"/>
  <c r="Q16" i="3"/>
  <c r="R16" i="3"/>
  <c r="Q13" i="3"/>
  <c r="H4" i="3" l="1"/>
  <c r="H6" i="3" s="1"/>
  <c r="H5" i="3"/>
  <c r="H7" i="3" s="1"/>
  <c r="R21" i="3"/>
  <c r="C40" i="3"/>
  <c r="E40" i="3" s="1"/>
  <c r="D40" i="3"/>
  <c r="F40" i="3" s="1"/>
  <c r="B9" i="4"/>
  <c r="E8" i="4"/>
  <c r="H16" i="3" l="1"/>
  <c r="B10" i="4"/>
  <c r="E9" i="4"/>
  <c r="C41" i="3"/>
  <c r="E41" i="3" s="1"/>
  <c r="D41" i="3"/>
  <c r="F41" i="3" s="1"/>
  <c r="H17" i="3" l="1"/>
  <c r="C42" i="3"/>
  <c r="E42" i="3" s="1"/>
  <c r="D42" i="3"/>
  <c r="F42" i="3" s="1"/>
  <c r="B11" i="4"/>
  <c r="E10" i="4"/>
  <c r="H18" i="3" l="1"/>
  <c r="B12" i="4"/>
  <c r="E12" i="4" s="1"/>
  <c r="E11" i="4"/>
  <c r="C43" i="3"/>
  <c r="E43" i="3" s="1"/>
  <c r="D43" i="3"/>
  <c r="F43" i="3" s="1"/>
  <c r="H19" i="3" l="1"/>
  <c r="D44" i="3"/>
  <c r="F44" i="3" s="1"/>
  <c r="C44" i="3"/>
  <c r="E44" i="3" s="1"/>
  <c r="C45" i="3"/>
  <c r="E45" i="3" s="1"/>
  <c r="D45" i="3"/>
  <c r="F45" i="3" s="1"/>
  <c r="H20" i="3" l="1"/>
  <c r="H21" i="3"/>
  <c r="D4" i="5"/>
  <c r="E4" i="5" s="1"/>
  <c r="C15" i="6"/>
  <c r="D15" i="6" s="1"/>
  <c r="G15" i="5"/>
  <c r="C17" i="6" s="1"/>
  <c r="D17" i="6" s="1"/>
  <c r="C16" i="6"/>
  <c r="D16" i="6" s="1"/>
  <c r="G16" i="5" l="1"/>
  <c r="G17" i="5" s="1"/>
  <c r="F17" i="5"/>
  <c r="C20" i="6"/>
  <c r="D20" i="6" s="1"/>
  <c r="G18" i="5"/>
  <c r="F16" i="5"/>
  <c r="C19" i="6"/>
  <c r="D19" i="6" s="1"/>
  <c r="C18" i="6" l="1"/>
  <c r="D18" i="6" s="1"/>
  <c r="G19" i="5"/>
  <c r="C21" i="6"/>
  <c r="D21" i="6" s="1"/>
  <c r="F18" i="5"/>
  <c r="G20" i="5" l="1"/>
  <c r="F19" i="5"/>
  <c r="C22" i="6"/>
  <c r="D22" i="6" s="1"/>
  <c r="G21" i="5" l="1"/>
  <c r="C23" i="6"/>
  <c r="D23" i="6" s="1"/>
  <c r="F20" i="5"/>
  <c r="F21" i="5" l="1"/>
  <c r="G22" i="5"/>
  <c r="G23" i="5" l="1"/>
  <c r="C25" i="6"/>
  <c r="D25" i="6" s="1"/>
  <c r="F22" i="5"/>
  <c r="C24" i="6"/>
  <c r="D24" i="6" s="1"/>
  <c r="F23" i="5" l="1"/>
  <c r="G24" i="5"/>
  <c r="F24" i="5" l="1"/>
  <c r="G25" i="5"/>
  <c r="F25" i="5" s="1"/>
  <c r="C26" i="6"/>
  <c r="D26" i="6" s="1"/>
  <c r="C27" i="6" l="1"/>
  <c r="D27" i="6" s="1"/>
  <c r="G4" i="6" s="1"/>
  <c r="G7" i="6" l="1"/>
  <c r="G10" i="6"/>
</calcChain>
</file>

<file path=xl/sharedStrings.xml><?xml version="1.0" encoding="utf-8"?>
<sst xmlns="http://schemas.openxmlformats.org/spreadsheetml/2006/main" count="122" uniqueCount="92">
  <si>
    <t>r/R</t>
  </si>
  <si>
    <t>Station</t>
  </si>
  <si>
    <t>Root</t>
  </si>
  <si>
    <t>Tip</t>
  </si>
  <si>
    <t>Hub Radius (m)</t>
  </si>
  <si>
    <t>Tip Radius (m)</t>
  </si>
  <si>
    <t>a °</t>
  </si>
  <si>
    <t>Cl</t>
  </si>
  <si>
    <t>Cd</t>
  </si>
  <si>
    <t>Cl/Cd</t>
  </si>
  <si>
    <t>BLADE SECTION AERODYNAMIC CHARACTERISTICS</t>
  </si>
  <si>
    <t>WIND TURBINE PERFORMANCE CALCULATOR (BEM, Ning's Method)</t>
  </si>
  <si>
    <t>Constants</t>
  </si>
  <si>
    <t>Chord (m)</t>
  </si>
  <si>
    <t>Radius (m)</t>
  </si>
  <si>
    <r>
      <t>Twist (</t>
    </r>
    <r>
      <rPr>
        <sz val="11"/>
        <color theme="1"/>
        <rFont val="Times New Roman"/>
        <family val="1"/>
      </rPr>
      <t>β, deg</t>
    </r>
    <r>
      <rPr>
        <sz val="11"/>
        <color theme="1"/>
        <rFont val="Calibri"/>
        <family val="2"/>
        <scheme val="minor"/>
      </rPr>
      <t>)</t>
    </r>
  </si>
  <si>
    <t>Chord (c, m)</t>
  </si>
  <si>
    <t>F_tip</t>
  </si>
  <si>
    <t>F_hub</t>
  </si>
  <si>
    <t>Nblades</t>
  </si>
  <si>
    <t>No. of blades</t>
  </si>
  <si>
    <t>k</t>
  </si>
  <si>
    <t>k'</t>
  </si>
  <si>
    <t>EX</t>
  </si>
  <si>
    <t>F</t>
  </si>
  <si>
    <t>TSR (λ)</t>
  </si>
  <si>
    <t>Solidity (σ')</t>
  </si>
  <si>
    <t>BEM Intermediate Parameters</t>
  </si>
  <si>
    <t>Local Airfoil Conditions</t>
  </si>
  <si>
    <t>m</t>
  </si>
  <si>
    <t>m/s</t>
  </si>
  <si>
    <t>rad/s</t>
  </si>
  <si>
    <t>Name</t>
  </si>
  <si>
    <t>Number</t>
  </si>
  <si>
    <t>Unit</t>
  </si>
  <si>
    <t>BEM Results</t>
  </si>
  <si>
    <t>Thrust</t>
  </si>
  <si>
    <t>C_T</t>
  </si>
  <si>
    <t>Power</t>
  </si>
  <si>
    <t>C_P</t>
  </si>
  <si>
    <t>λr</t>
  </si>
  <si>
    <t>a</t>
  </si>
  <si>
    <t>a'</t>
  </si>
  <si>
    <t>Solver Parameters</t>
  </si>
  <si>
    <t xml:space="preserve"> ϕ (deg)</t>
  </si>
  <si>
    <t>f(ϕ)</t>
  </si>
  <si>
    <t>β (deg)</t>
  </si>
  <si>
    <t>Sections</t>
  </si>
  <si>
    <t>R</t>
  </si>
  <si>
    <t>U_infty</t>
  </si>
  <si>
    <t>ω</t>
  </si>
  <si>
    <t>α (deg)</t>
  </si>
  <si>
    <t>Force Distributions</t>
  </si>
  <si>
    <t>Ftan</t>
  </si>
  <si>
    <t>Torque</t>
  </si>
  <si>
    <t>Ftan / Δr</t>
  </si>
  <si>
    <t>Faxi</t>
  </si>
  <si>
    <t>Faxi / Δr</t>
  </si>
  <si>
    <t>Caxi</t>
  </si>
  <si>
    <t>Ctan</t>
  </si>
  <si>
    <t>GLAUERT TIP LOSS CORRECTION</t>
  </si>
  <si>
    <t>Thrust Coef</t>
  </si>
  <si>
    <t>Torque Coef</t>
  </si>
  <si>
    <t>Power Coef</t>
  </si>
  <si>
    <t>RPM</t>
  </si>
  <si>
    <t>TSR</t>
  </si>
  <si>
    <t>Pitch</t>
  </si>
  <si>
    <t>Air Density</t>
  </si>
  <si>
    <t>Blade section width</t>
  </si>
  <si>
    <t>WIND TURBINE OPERATION CURVE (DTU 10MW RWT)</t>
  </si>
  <si>
    <t>Probability</t>
  </si>
  <si>
    <t>Speed (m/s)</t>
  </si>
  <si>
    <t>Cp</t>
  </si>
  <si>
    <t>Root Pitch Angle</t>
    <phoneticPr fontId="13" type="noConversion"/>
  </si>
  <si>
    <t>Capacity Factor</t>
    <phoneticPr fontId="13" type="noConversion"/>
  </si>
  <si>
    <t>WIND DISTRIBUTION (probability function using a Weibull distribution)</t>
  </si>
  <si>
    <t>k_s</t>
  </si>
  <si>
    <t>c_s</t>
  </si>
  <si>
    <t>Power (MW)</t>
  </si>
  <si>
    <t>Blade Sectional Design (using band centroids)</t>
  </si>
  <si>
    <t>P (MW)</t>
  </si>
  <si>
    <t>Average Energy Yield (MW/hr)</t>
  </si>
  <si>
    <t>F (MW)</t>
  </si>
  <si>
    <t>Total Energy Yield (GWhr/Year)</t>
  </si>
  <si>
    <t>MN</t>
  </si>
  <si>
    <t>MW</t>
  </si>
  <si>
    <t>Weibull distribution coefficients</t>
  </si>
  <si>
    <t>BLADE DESIGNS (20MW First Iteration)</t>
  </si>
  <si>
    <t>Tip Speed Ratio</t>
  </si>
  <si>
    <t>Desired AoA</t>
  </si>
  <si>
    <t>Induction Factor</t>
  </si>
  <si>
    <t>Other induction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</si>
</sst>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0"/>
    <numFmt numFmtId="166" formatCode="0.0"/>
    <numFmt numFmtId="167" formatCode="#,##0.000"/>
    <numFmt numFmtId="168" formatCode="0.000E+00"/>
    <numFmt numFmtId="170" formatCode="#,##0.000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Symbol"/>
      <family val="1"/>
      <charset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color theme="1"/>
      <name val="Times New Roman"/>
      <family val="1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  <font>
      <sz val="24"/>
      <color rgb="FF000000"/>
      <name val="Arial"/>
      <family val="2"/>
    </font>
    <font>
      <sz val="9"/>
      <name val="Calibri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26">
    <xf numFmtId="0" fontId="0" fillId="0" borderId="0" xfId="0"/>
    <xf numFmtId="0" fontId="0" fillId="0" borderId="0" xfId="0" applyAlignment="1">
      <alignment horizontal="center"/>
    </xf>
    <xf numFmtId="165" fontId="1" fillId="0" borderId="0" xfId="1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/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164" fontId="1" fillId="0" borderId="0" xfId="1" applyNumberFormat="1" applyAlignment="1">
      <alignment horizontal="center"/>
    </xf>
    <xf numFmtId="0" fontId="1" fillId="0" borderId="0" xfId="1"/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6" borderId="2" xfId="0" applyFont="1" applyFill="1" applyBorder="1" applyAlignment="1">
      <alignment vertical="center"/>
    </xf>
    <xf numFmtId="0" fontId="8" fillId="6" borderId="0" xfId="0" applyFont="1" applyFill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0" fontId="8" fillId="3" borderId="3" xfId="0" applyFont="1" applyFill="1" applyBorder="1" applyAlignment="1">
      <alignment vertical="center"/>
    </xf>
    <xf numFmtId="0" fontId="8" fillId="3" borderId="4" xfId="0" applyFont="1" applyFill="1" applyBorder="1" applyAlignment="1">
      <alignment vertical="center"/>
    </xf>
    <xf numFmtId="0" fontId="8" fillId="3" borderId="5" xfId="0" applyFont="1" applyFill="1" applyBorder="1" applyAlignment="1">
      <alignment vertical="center"/>
    </xf>
    <xf numFmtId="0" fontId="8" fillId="3" borderId="6" xfId="0" applyFont="1" applyFill="1" applyBorder="1" applyAlignment="1">
      <alignment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8" fillId="4" borderId="5" xfId="0" applyFont="1" applyFill="1" applyBorder="1" applyAlignment="1">
      <alignment vertical="center"/>
    </xf>
    <xf numFmtId="0" fontId="8" fillId="4" borderId="6" xfId="0" applyFont="1" applyFill="1" applyBorder="1" applyAlignment="1">
      <alignment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1" fillId="0" borderId="0" xfId="1" applyNumberFormat="1" applyFont="1"/>
    <xf numFmtId="0" fontId="8" fillId="0" borderId="0" xfId="0" applyFont="1" applyAlignment="1">
      <alignment horizontal="right"/>
    </xf>
    <xf numFmtId="164" fontId="8" fillId="0" borderId="0" xfId="0" applyNumberFormat="1" applyFont="1"/>
    <xf numFmtId="168" fontId="8" fillId="0" borderId="0" xfId="0" applyNumberFormat="1" applyFont="1"/>
    <xf numFmtId="166" fontId="8" fillId="0" borderId="0" xfId="0" applyNumberFormat="1" applyFont="1"/>
    <xf numFmtId="0" fontId="8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vertical="center"/>
    </xf>
    <xf numFmtId="164" fontId="8" fillId="3" borderId="0" xfId="0" applyNumberFormat="1" applyFont="1" applyFill="1" applyAlignment="1">
      <alignment vertical="center"/>
    </xf>
    <xf numFmtId="0" fontId="8" fillId="3" borderId="0" xfId="0" applyFont="1" applyFill="1" applyAlignment="1">
      <alignment vertical="center"/>
    </xf>
    <xf numFmtId="164" fontId="8" fillId="3" borderId="5" xfId="0" applyNumberFormat="1" applyFont="1" applyFill="1" applyBorder="1" applyAlignment="1">
      <alignment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164" fontId="8" fillId="3" borderId="12" xfId="0" applyNumberFormat="1" applyFont="1" applyFill="1" applyBorder="1" applyAlignment="1">
      <alignment vertical="center"/>
    </xf>
    <xf numFmtId="164" fontId="8" fillId="8" borderId="11" xfId="0" applyNumberFormat="1" applyFont="1" applyFill="1" applyBorder="1" applyAlignment="1">
      <alignment vertical="center"/>
    </xf>
    <xf numFmtId="164" fontId="1" fillId="0" borderId="0" xfId="1" applyNumberFormat="1"/>
    <xf numFmtId="0" fontId="8" fillId="6" borderId="4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vertical="center"/>
    </xf>
    <xf numFmtId="0" fontId="8" fillId="6" borderId="3" xfId="0" applyFont="1" applyFill="1" applyBorder="1" applyAlignment="1">
      <alignment vertical="center"/>
    </xf>
    <xf numFmtId="0" fontId="8" fillId="6" borderId="4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8" fillId="7" borderId="10" xfId="0" applyFont="1" applyFill="1" applyBorder="1" applyAlignment="1">
      <alignment vertical="center" wrapText="1"/>
    </xf>
    <xf numFmtId="0" fontId="8" fillId="7" borderId="10" xfId="0" applyFont="1" applyFill="1" applyBorder="1" applyAlignment="1">
      <alignment horizontal="center" vertical="center"/>
    </xf>
    <xf numFmtId="164" fontId="8" fillId="2" borderId="0" xfId="0" applyNumberFormat="1" applyFont="1" applyFill="1" applyProtection="1">
      <protection locked="0"/>
    </xf>
    <xf numFmtId="164" fontId="8" fillId="10" borderId="12" xfId="0" applyNumberFormat="1" applyFont="1" applyFill="1" applyBorder="1" applyAlignment="1">
      <alignment vertical="center"/>
    </xf>
    <xf numFmtId="164" fontId="8" fillId="2" borderId="3" xfId="0" applyNumberFormat="1" applyFont="1" applyFill="1" applyBorder="1" applyAlignment="1" applyProtection="1">
      <alignment horizontal="right" vertical="center"/>
      <protection locked="0"/>
    </xf>
    <xf numFmtId="164" fontId="8" fillId="2" borderId="6" xfId="0" applyNumberFormat="1" applyFont="1" applyFill="1" applyBorder="1" applyAlignment="1" applyProtection="1">
      <alignment horizontal="right" vertical="center"/>
      <protection locked="0"/>
    </xf>
    <xf numFmtId="0" fontId="8" fillId="2" borderId="0" xfId="0" applyFont="1" applyFill="1" applyAlignment="1">
      <alignment horizontal="center" vertical="center"/>
    </xf>
    <xf numFmtId="164" fontId="11" fillId="2" borderId="0" xfId="1" applyNumberFormat="1" applyFont="1" applyFill="1" applyProtection="1">
      <protection locked="0"/>
    </xf>
    <xf numFmtId="0" fontId="8" fillId="2" borderId="0" xfId="0" applyFont="1" applyFill="1" applyAlignment="1" applyProtection="1">
      <alignment vertical="center"/>
      <protection locked="0"/>
    </xf>
    <xf numFmtId="0" fontId="8" fillId="8" borderId="4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0" xfId="0" applyNumberFormat="1" applyFont="1" applyFill="1" applyAlignment="1">
      <alignment vertical="center"/>
    </xf>
    <xf numFmtId="164" fontId="8" fillId="8" borderId="3" xfId="0" applyNumberFormat="1" applyFont="1" applyFill="1" applyBorder="1" applyAlignment="1">
      <alignment vertical="center"/>
    </xf>
    <xf numFmtId="164" fontId="8" fillId="8" borderId="5" xfId="0" applyNumberFormat="1" applyFont="1" applyFill="1" applyBorder="1" applyAlignment="1">
      <alignment vertical="center"/>
    </xf>
    <xf numFmtId="164" fontId="8" fillId="8" borderId="6" xfId="0" applyNumberFormat="1" applyFont="1" applyFill="1" applyBorder="1" applyAlignment="1">
      <alignment vertical="center"/>
    </xf>
    <xf numFmtId="0" fontId="8" fillId="2" borderId="12" xfId="0" applyFont="1" applyFill="1" applyBorder="1" applyAlignment="1" applyProtection="1">
      <alignment vertical="center"/>
      <protection locked="0"/>
    </xf>
    <xf numFmtId="0" fontId="8" fillId="2" borderId="11" xfId="0" applyFont="1" applyFill="1" applyBorder="1" applyAlignment="1" applyProtection="1">
      <alignment vertical="center"/>
      <protection locked="0"/>
    </xf>
    <xf numFmtId="167" fontId="8" fillId="3" borderId="0" xfId="0" applyNumberFormat="1" applyFont="1" applyFill="1" applyAlignment="1">
      <alignment vertical="center"/>
    </xf>
    <xf numFmtId="0" fontId="8" fillId="5" borderId="2" xfId="0" applyFont="1" applyFill="1" applyBorder="1" applyAlignment="1" applyProtection="1">
      <alignment vertical="center"/>
      <protection locked="0"/>
    </xf>
    <xf numFmtId="0" fontId="8" fillId="5" borderId="4" xfId="0" applyFont="1" applyFill="1" applyBorder="1" applyAlignment="1" applyProtection="1">
      <alignment vertical="center"/>
      <protection locked="0"/>
    </xf>
    <xf numFmtId="0" fontId="8" fillId="5" borderId="3" xfId="0" applyFont="1" applyFill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164" fontId="1" fillId="0" borderId="0" xfId="1" applyNumberFormat="1" applyProtection="1">
      <protection locked="0"/>
    </xf>
    <xf numFmtId="0" fontId="4" fillId="0" borderId="0" xfId="0" applyFont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10" borderId="10" xfId="0" applyFont="1" applyFill="1" applyBorder="1" applyAlignment="1">
      <alignment horizontal="center" vertical="center" wrapText="1"/>
    </xf>
    <xf numFmtId="0" fontId="8" fillId="10" borderId="11" xfId="0" applyFont="1" applyFill="1" applyBorder="1" applyAlignment="1">
      <alignment horizontal="center" vertical="center" wrapText="1"/>
    </xf>
    <xf numFmtId="0" fontId="6" fillId="9" borderId="13" xfId="0" applyFont="1" applyFill="1" applyBorder="1" applyAlignment="1">
      <alignment horizontal="center" vertical="center" wrapText="1"/>
    </xf>
    <xf numFmtId="0" fontId="6" fillId="9" borderId="14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4" xfId="0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8" fillId="8" borderId="11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right"/>
    </xf>
    <xf numFmtId="170" fontId="8" fillId="3" borderId="5" xfId="0" applyNumberFormat="1" applyFont="1" applyFill="1" applyBorder="1" applyAlignment="1">
      <alignment vertical="center"/>
    </xf>
  </cellXfs>
  <cellStyles count="2">
    <cellStyle name="Normal" xfId="0" builtinId="0"/>
    <cellStyle name="Normal 2" xfId="1" xr:uid="{6FEB3EA0-FF14-4FED-9FA7-BEB0C1DDBD6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Blade Twist Distribution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BLD!$C$4:$C$43</c:f>
              <c:numCache>
                <c:formatCode>0.000</c:formatCode>
                <c:ptCount val="40"/>
                <c:pt idx="0">
                  <c:v>2.2453889334402566E-2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0.17499999999999999</c:v>
                </c:pt>
                <c:pt idx="7">
                  <c:v>0.2</c:v>
                </c:pt>
                <c:pt idx="8">
                  <c:v>0.22500000000000001</c:v>
                </c:pt>
                <c:pt idx="9">
                  <c:v>0.25</c:v>
                </c:pt>
                <c:pt idx="10">
                  <c:v>0.27500000000000002</c:v>
                </c:pt>
                <c:pt idx="11">
                  <c:v>0.3</c:v>
                </c:pt>
                <c:pt idx="12">
                  <c:v>0.32500000000000001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0.42499999999999999</c:v>
                </c:pt>
                <c:pt idx="17">
                  <c:v>0.45</c:v>
                </c:pt>
                <c:pt idx="18">
                  <c:v>0.47499999999999998</c:v>
                </c:pt>
                <c:pt idx="19">
                  <c:v>0.5</c:v>
                </c:pt>
                <c:pt idx="20">
                  <c:v>0.52500000000000002</c:v>
                </c:pt>
                <c:pt idx="21">
                  <c:v>0.55000000000000004</c:v>
                </c:pt>
                <c:pt idx="22">
                  <c:v>0.57499999999999996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0.67500000000000004</c:v>
                </c:pt>
                <c:pt idx="27">
                  <c:v>0.7</c:v>
                </c:pt>
                <c:pt idx="28">
                  <c:v>0.72499999999999998</c:v>
                </c:pt>
                <c:pt idx="29">
                  <c:v>0.75</c:v>
                </c:pt>
                <c:pt idx="30">
                  <c:v>0.77500000000000002</c:v>
                </c:pt>
                <c:pt idx="31">
                  <c:v>0.8</c:v>
                </c:pt>
                <c:pt idx="32">
                  <c:v>0.82499999999999996</c:v>
                </c:pt>
                <c:pt idx="33">
                  <c:v>0.85</c:v>
                </c:pt>
                <c:pt idx="34">
                  <c:v>0.875</c:v>
                </c:pt>
                <c:pt idx="35">
                  <c:v>0.9</c:v>
                </c:pt>
                <c:pt idx="36">
                  <c:v>0.92500000000000004</c:v>
                </c:pt>
                <c:pt idx="37">
                  <c:v>0.95</c:v>
                </c:pt>
                <c:pt idx="38">
                  <c:v>0.97499999999999998</c:v>
                </c:pt>
                <c:pt idx="39">
                  <c:v>1</c:v>
                </c:pt>
              </c:numCache>
            </c:numRef>
          </c:xVal>
          <c:yVal>
            <c:numRef>
              <c:f>BLD!$D$4:$D$43</c:f>
              <c:numCache>
                <c:formatCode>0.000</c:formatCode>
                <c:ptCount val="40"/>
                <c:pt idx="0">
                  <c:v>20.377023715335078</c:v>
                </c:pt>
                <c:pt idx="1">
                  <c:v>25</c:v>
                </c:pt>
                <c:pt idx="2">
                  <c:v>23.684958218028903</c:v>
                </c:pt>
                <c:pt idx="3">
                  <c:v>19.614586339261258</c:v>
                </c:pt>
                <c:pt idx="4">
                  <c:v>15.898081765838594</c:v>
                </c:pt>
                <c:pt idx="5">
                  <c:v>12.785607937157824</c:v>
                </c:pt>
                <c:pt idx="6">
                  <c:v>10.231099203691972</c:v>
                </c:pt>
                <c:pt idx="7">
                  <c:v>8.1329798104340831</c:v>
                </c:pt>
                <c:pt idx="8">
                  <c:v>6.3957130988405027</c:v>
                </c:pt>
                <c:pt idx="9">
                  <c:v>4.9421196060527031</c:v>
                </c:pt>
                <c:pt idx="10">
                  <c:v>3.7126429654796951</c:v>
                </c:pt>
                <c:pt idx="11">
                  <c:v>2.6618711960042027</c:v>
                </c:pt>
                <c:pt idx="12">
                  <c:v>1.7551246199653594</c:v>
                </c:pt>
                <c:pt idx="13">
                  <c:v>0.9657255891090184</c:v>
                </c:pt>
                <c:pt idx="14">
                  <c:v>0.27295178826335231</c:v>
                </c:pt>
                <c:pt idx="15">
                  <c:v>-0.33946391499271833</c:v>
                </c:pt>
                <c:pt idx="16">
                  <c:v>-0.88442755167030462</c:v>
                </c:pt>
                <c:pt idx="17">
                  <c:v>-1.3722844604131748</c:v>
                </c:pt>
                <c:pt idx="18">
                  <c:v>-1.8114089779843781</c:v>
                </c:pt>
                <c:pt idx="19">
                  <c:v>-2.2086427650304126</c:v>
                </c:pt>
                <c:pt idx="20">
                  <c:v>-2.5696237898490937</c:v>
                </c:pt>
                <c:pt idx="21">
                  <c:v>-2.8990356996599163</c:v>
                </c:pt>
                <c:pt idx="22">
                  <c:v>-3.200798701583822</c:v>
                </c:pt>
                <c:pt idx="23">
                  <c:v>-3.4782170641652099</c:v>
                </c:pt>
                <c:pt idx="24">
                  <c:v>-3.7340941394845979</c:v>
                </c:pt>
                <c:pt idx="25">
                  <c:v>-3.9708228388790241</c:v>
                </c:pt>
                <c:pt idx="26">
                  <c:v>-4.1904573888502146</c:v>
                </c:pt>
                <c:pt idx="27">
                  <c:v>-4.3947706857403244</c:v>
                </c:pt>
                <c:pt idx="28">
                  <c:v>-4.5853004787257357</c:v>
                </c:pt>
                <c:pt idx="29">
                  <c:v>-4.7633868172655296</c:v>
                </c:pt>
                <c:pt idx="30">
                  <c:v>-4.9302026160387769</c:v>
                </c:pt>
                <c:pt idx="31">
                  <c:v>-5.0867787581976032</c:v>
                </c:pt>
                <c:pt idx="32">
                  <c:v>-5.2340248347413842</c:v>
                </c:pt>
                <c:pt idx="33">
                  <c:v>-5.3727463744627775</c:v>
                </c:pt>
                <c:pt idx="34">
                  <c:v>-5.5036592341668298</c:v>
                </c:pt>
                <c:pt idx="35">
                  <c:v>-5.6274016775684945</c:v>
                </c:pt>
                <c:pt idx="36">
                  <c:v>-5.7445445624451752</c:v>
                </c:pt>
                <c:pt idx="37">
                  <c:v>-5.855599971229978</c:v>
                </c:pt>
                <c:pt idx="38">
                  <c:v>-5.9610285543656198</c:v>
                </c:pt>
                <c:pt idx="39">
                  <c:v>-6.0612458040125015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D0-4EB1-A04F-0B65A5AEA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939904"/>
        <c:axId val="1594941824"/>
      </c:scatterChart>
      <c:valAx>
        <c:axId val="1594939904"/>
        <c:scaling>
          <c:orientation val="minMax"/>
          <c:max val="1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r/R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41824"/>
        <c:crossesAt val="-15"/>
        <c:crossBetween val="midCat"/>
      </c:valAx>
      <c:valAx>
        <c:axId val="1594941824"/>
        <c:scaling>
          <c:orientation val="minMax"/>
          <c:max val="3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Twist (deg)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39904"/>
        <c:crossesAt val="0"/>
        <c:crossBetween val="midCat"/>
        <c:majorUnit val="5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Blade Chord Distribution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BLD!$C$4:$C$43</c:f>
              <c:numCache>
                <c:formatCode>0.000</c:formatCode>
                <c:ptCount val="40"/>
                <c:pt idx="0">
                  <c:v>2.2453889334402566E-2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0.17499999999999999</c:v>
                </c:pt>
                <c:pt idx="7">
                  <c:v>0.2</c:v>
                </c:pt>
                <c:pt idx="8">
                  <c:v>0.22500000000000001</c:v>
                </c:pt>
                <c:pt idx="9">
                  <c:v>0.25</c:v>
                </c:pt>
                <c:pt idx="10">
                  <c:v>0.27500000000000002</c:v>
                </c:pt>
                <c:pt idx="11">
                  <c:v>0.3</c:v>
                </c:pt>
                <c:pt idx="12">
                  <c:v>0.32500000000000001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0.42499999999999999</c:v>
                </c:pt>
                <c:pt idx="17">
                  <c:v>0.45</c:v>
                </c:pt>
                <c:pt idx="18">
                  <c:v>0.47499999999999998</c:v>
                </c:pt>
                <c:pt idx="19">
                  <c:v>0.5</c:v>
                </c:pt>
                <c:pt idx="20">
                  <c:v>0.52500000000000002</c:v>
                </c:pt>
                <c:pt idx="21">
                  <c:v>0.55000000000000004</c:v>
                </c:pt>
                <c:pt idx="22">
                  <c:v>0.57499999999999996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0.67500000000000004</c:v>
                </c:pt>
                <c:pt idx="27">
                  <c:v>0.7</c:v>
                </c:pt>
                <c:pt idx="28">
                  <c:v>0.72499999999999998</c:v>
                </c:pt>
                <c:pt idx="29">
                  <c:v>0.75</c:v>
                </c:pt>
                <c:pt idx="30">
                  <c:v>0.77500000000000002</c:v>
                </c:pt>
                <c:pt idx="31">
                  <c:v>0.8</c:v>
                </c:pt>
                <c:pt idx="32">
                  <c:v>0.82499999999999996</c:v>
                </c:pt>
                <c:pt idx="33">
                  <c:v>0.85</c:v>
                </c:pt>
                <c:pt idx="34">
                  <c:v>0.875</c:v>
                </c:pt>
                <c:pt idx="35">
                  <c:v>0.9</c:v>
                </c:pt>
                <c:pt idx="36">
                  <c:v>0.92500000000000004</c:v>
                </c:pt>
                <c:pt idx="37">
                  <c:v>0.95</c:v>
                </c:pt>
                <c:pt idx="38">
                  <c:v>0.97499999999999998</c:v>
                </c:pt>
                <c:pt idx="39">
                  <c:v>1</c:v>
                </c:pt>
              </c:numCache>
            </c:numRef>
          </c:xVal>
          <c:yVal>
            <c:numRef>
              <c:f>BLD!$E$4:$E$43</c:f>
              <c:numCache>
                <c:formatCode>0.000</c:formatCode>
                <c:ptCount val="4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6.4486683769983069</c:v>
                </c:pt>
                <c:pt idx="9">
                  <c:v>5.803801539298477</c:v>
                </c:pt>
                <c:pt idx="10">
                  <c:v>5.2761832175440695</c:v>
                </c:pt>
                <c:pt idx="11">
                  <c:v>4.8365012827487313</c:v>
                </c:pt>
                <c:pt idx="12">
                  <c:v>4.4644627225372897</c:v>
                </c:pt>
                <c:pt idx="13">
                  <c:v>4.1455725280703408</c:v>
                </c:pt>
                <c:pt idx="14">
                  <c:v>3.8692010261989846</c:v>
                </c:pt>
                <c:pt idx="15">
                  <c:v>3.627375962061548</c:v>
                </c:pt>
                <c:pt idx="16">
                  <c:v>3.4140009054696918</c:v>
                </c:pt>
                <c:pt idx="17">
                  <c:v>3.2243341884991534</c:v>
                </c:pt>
                <c:pt idx="18">
                  <c:v>3.0546323891044613</c:v>
                </c:pt>
                <c:pt idx="19">
                  <c:v>2.9019007696492385</c:v>
                </c:pt>
                <c:pt idx="20">
                  <c:v>2.7637150187135604</c:v>
                </c:pt>
                <c:pt idx="21">
                  <c:v>2.6380916087720347</c:v>
                </c:pt>
                <c:pt idx="22">
                  <c:v>2.5233919736080335</c:v>
                </c:pt>
                <c:pt idx="23">
                  <c:v>2.4182506413743656</c:v>
                </c:pt>
                <c:pt idx="24">
                  <c:v>2.3215206157193906</c:v>
                </c:pt>
                <c:pt idx="25">
                  <c:v>2.2322313612686449</c:v>
                </c:pt>
                <c:pt idx="26">
                  <c:v>2.149556125666102</c:v>
                </c:pt>
                <c:pt idx="27">
                  <c:v>2.0727862640351704</c:v>
                </c:pt>
                <c:pt idx="28">
                  <c:v>2.0013108756201641</c:v>
                </c:pt>
                <c:pt idx="29">
                  <c:v>1.9346005130994923</c:v>
                </c:pt>
                <c:pt idx="30">
                  <c:v>1.8721940449349925</c:v>
                </c:pt>
                <c:pt idx="31">
                  <c:v>1.813687981030774</c:v>
                </c:pt>
                <c:pt idx="32">
                  <c:v>1.7587277391813567</c:v>
                </c:pt>
                <c:pt idx="33">
                  <c:v>1.7070004527348459</c:v>
                </c:pt>
                <c:pt idx="34">
                  <c:v>1.6582290112281362</c:v>
                </c:pt>
                <c:pt idx="35">
                  <c:v>1.6121670942495767</c:v>
                </c:pt>
                <c:pt idx="36">
                  <c:v>1.5685950106212097</c:v>
                </c:pt>
                <c:pt idx="37">
                  <c:v>1.5273161945522307</c:v>
                </c:pt>
                <c:pt idx="38">
                  <c:v>1.4881542408457631</c:v>
                </c:pt>
                <c:pt idx="39">
                  <c:v>1.4509503848246192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D3-4D20-B2EA-F538A1C6C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939904"/>
        <c:axId val="1594941824"/>
      </c:scatterChart>
      <c:valAx>
        <c:axId val="1594939904"/>
        <c:scaling>
          <c:orientation val="minMax"/>
          <c:max val="1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r/R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41824"/>
        <c:crossesAt val="-15"/>
        <c:crossBetween val="midCat"/>
      </c:valAx>
      <c:valAx>
        <c:axId val="1594941824"/>
        <c:scaling>
          <c:orientation val="minMax"/>
          <c:max val="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Chord Length</a:t>
                </a:r>
                <a:r>
                  <a:rPr lang="en-GB" sz="1600" baseline="0"/>
                  <a:t> (m)</a:t>
                </a:r>
                <a:endParaRPr lang="en-GB" sz="1600"/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39904"/>
        <c:crossesAt val="0"/>
        <c:crossBetween val="midCat"/>
        <c:majorUnit val="1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Aerofoil Lift</a:t>
            </a:r>
            <a:r>
              <a:rPr lang="en-US" b="1" baseline="0"/>
              <a:t> and Drag Coefficients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'ARFL DTU'!$A$3:$A$107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'ARFL DTU'!$B$3:$B$107</c:f>
              <c:numCache>
                <c:formatCode>0.000</c:formatCode>
                <c:ptCount val="105"/>
                <c:pt idx="0">
                  <c:v>0</c:v>
                </c:pt>
                <c:pt idx="1">
                  <c:v>0.1736</c:v>
                </c:pt>
                <c:pt idx="2">
                  <c:v>0.34200000000000003</c:v>
                </c:pt>
                <c:pt idx="3">
                  <c:v>0.5</c:v>
                </c:pt>
                <c:pt idx="4">
                  <c:v>0.64280000000000004</c:v>
                </c:pt>
                <c:pt idx="5">
                  <c:v>0.76600000000000001</c:v>
                </c:pt>
                <c:pt idx="6">
                  <c:v>0.86599999999999999</c:v>
                </c:pt>
                <c:pt idx="7">
                  <c:v>0.93969999999999998</c:v>
                </c:pt>
                <c:pt idx="8">
                  <c:v>0.98480000000000001</c:v>
                </c:pt>
                <c:pt idx="9">
                  <c:v>1</c:v>
                </c:pt>
                <c:pt idx="10">
                  <c:v>0.98480000000000001</c:v>
                </c:pt>
                <c:pt idx="11">
                  <c:v>0.93969999999999998</c:v>
                </c:pt>
                <c:pt idx="12">
                  <c:v>0.86599999999999999</c:v>
                </c:pt>
                <c:pt idx="13">
                  <c:v>0.76600000000000001</c:v>
                </c:pt>
                <c:pt idx="14">
                  <c:v>0.64280000000000004</c:v>
                </c:pt>
                <c:pt idx="15">
                  <c:v>0.5</c:v>
                </c:pt>
                <c:pt idx="16">
                  <c:v>0.34200000000000003</c:v>
                </c:pt>
                <c:pt idx="17">
                  <c:v>0.1736</c:v>
                </c:pt>
                <c:pt idx="18">
                  <c:v>0</c:v>
                </c:pt>
                <c:pt idx="19">
                  <c:v>-0.1736</c:v>
                </c:pt>
                <c:pt idx="20">
                  <c:v>-0.34200000000000003</c:v>
                </c:pt>
                <c:pt idx="21">
                  <c:v>-0.5</c:v>
                </c:pt>
                <c:pt idx="22">
                  <c:v>-0.64280000000000004</c:v>
                </c:pt>
                <c:pt idx="23">
                  <c:v>-0.76600000000000001</c:v>
                </c:pt>
                <c:pt idx="24">
                  <c:v>-0.86599999999999999</c:v>
                </c:pt>
                <c:pt idx="25">
                  <c:v>-0.93969999999999998</c:v>
                </c:pt>
                <c:pt idx="26">
                  <c:v>-0.98480000000000001</c:v>
                </c:pt>
                <c:pt idx="27">
                  <c:v>-1.012</c:v>
                </c:pt>
                <c:pt idx="28">
                  <c:v>-1.0376000000000001</c:v>
                </c:pt>
                <c:pt idx="29">
                  <c:v>-1.0419</c:v>
                </c:pt>
                <c:pt idx="30">
                  <c:v>-1.0462</c:v>
                </c:pt>
                <c:pt idx="31">
                  <c:v>-1.0525</c:v>
                </c:pt>
                <c:pt idx="32">
                  <c:v>-1.0568</c:v>
                </c:pt>
                <c:pt idx="33">
                  <c:v>-1.0610999999999999</c:v>
                </c:pt>
                <c:pt idx="34">
                  <c:v>-1.0653999999999999</c:v>
                </c:pt>
                <c:pt idx="35">
                  <c:v>-1.0717000000000001</c:v>
                </c:pt>
                <c:pt idx="36">
                  <c:v>-1.0765</c:v>
                </c:pt>
                <c:pt idx="37">
                  <c:v>-1.0889</c:v>
                </c:pt>
                <c:pt idx="38">
                  <c:v>-1.0992999999999999</c:v>
                </c:pt>
                <c:pt idx="39">
                  <c:v>-1.1168</c:v>
                </c:pt>
                <c:pt idx="40">
                  <c:v>-1.1282000000000001</c:v>
                </c:pt>
                <c:pt idx="41">
                  <c:v>-1.1214999999999999</c:v>
                </c:pt>
                <c:pt idx="42">
                  <c:v>-1.1148</c:v>
                </c:pt>
                <c:pt idx="43">
                  <c:v>-1.0919000000000001</c:v>
                </c:pt>
                <c:pt idx="44">
                  <c:v>-1.0690999999999999</c:v>
                </c:pt>
                <c:pt idx="45">
                  <c:v>-1.0379</c:v>
                </c:pt>
                <c:pt idx="46">
                  <c:v>-1.0066999999999999</c:v>
                </c:pt>
                <c:pt idx="47">
                  <c:v>-0.84789999999999999</c:v>
                </c:pt>
                <c:pt idx="48">
                  <c:v>-0.68920000000000003</c:v>
                </c:pt>
                <c:pt idx="49">
                  <c:v>-0.42780000000000001</c:v>
                </c:pt>
                <c:pt idx="50">
                  <c:v>-0.16650000000000001</c:v>
                </c:pt>
                <c:pt idx="51">
                  <c:v>8.6300000000000002E-2</c:v>
                </c:pt>
                <c:pt idx="52">
                  <c:v>0.33910000000000001</c:v>
                </c:pt>
                <c:pt idx="53">
                  <c:v>0.5867</c:v>
                </c:pt>
                <c:pt idx="54">
                  <c:v>0.83009999999999995</c:v>
                </c:pt>
                <c:pt idx="55">
                  <c:v>1.0656000000000001</c:v>
                </c:pt>
                <c:pt idx="56">
                  <c:v>1.2914000000000001</c:v>
                </c:pt>
                <c:pt idx="57">
                  <c:v>1.5012000000000001</c:v>
                </c:pt>
                <c:pt idx="58">
                  <c:v>1.6886000000000001</c:v>
                </c:pt>
                <c:pt idx="59">
                  <c:v>1.8103</c:v>
                </c:pt>
                <c:pt idx="60">
                  <c:v>1.8139000000000001</c:v>
                </c:pt>
                <c:pt idx="61">
                  <c:v>1.7544999999999999</c:v>
                </c:pt>
                <c:pt idx="62">
                  <c:v>1.6071</c:v>
                </c:pt>
                <c:pt idx="63">
                  <c:v>1.5257000000000001</c:v>
                </c:pt>
                <c:pt idx="64">
                  <c:v>1.4428000000000001</c:v>
                </c:pt>
                <c:pt idx="65">
                  <c:v>1.3826000000000001</c:v>
                </c:pt>
                <c:pt idx="66">
                  <c:v>1.3218000000000001</c:v>
                </c:pt>
                <c:pt idx="67">
                  <c:v>1.2583</c:v>
                </c:pt>
                <c:pt idx="68">
                  <c:v>1.1943999999999999</c:v>
                </c:pt>
                <c:pt idx="69">
                  <c:v>1.1734</c:v>
                </c:pt>
                <c:pt idx="70">
                  <c:v>1.1568000000000001</c:v>
                </c:pt>
                <c:pt idx="71">
                  <c:v>1.1378999999999999</c:v>
                </c:pt>
                <c:pt idx="72">
                  <c:v>1.1248</c:v>
                </c:pt>
                <c:pt idx="73">
                  <c:v>1.1176999999999999</c:v>
                </c:pt>
                <c:pt idx="74">
                  <c:v>1.1024</c:v>
                </c:pt>
                <c:pt idx="75">
                  <c:v>1.0891</c:v>
                </c:pt>
                <c:pt idx="76">
                  <c:v>1.0754999999999999</c:v>
                </c:pt>
                <c:pt idx="77">
                  <c:v>1.0175000000000001</c:v>
                </c:pt>
                <c:pt idx="78">
                  <c:v>0.97160000000000002</c:v>
                </c:pt>
                <c:pt idx="79">
                  <c:v>0.92679999999999996</c:v>
                </c:pt>
                <c:pt idx="80">
                  <c:v>0.86599999999999999</c:v>
                </c:pt>
                <c:pt idx="81">
                  <c:v>0.76600000000000001</c:v>
                </c:pt>
                <c:pt idx="82">
                  <c:v>0.64280000000000004</c:v>
                </c:pt>
                <c:pt idx="83">
                  <c:v>0.5</c:v>
                </c:pt>
                <c:pt idx="84">
                  <c:v>0.34200000000000003</c:v>
                </c:pt>
                <c:pt idx="85">
                  <c:v>0.1736</c:v>
                </c:pt>
                <c:pt idx="86">
                  <c:v>0</c:v>
                </c:pt>
                <c:pt idx="87">
                  <c:v>-0.1736</c:v>
                </c:pt>
                <c:pt idx="88">
                  <c:v>-0.34200000000000003</c:v>
                </c:pt>
                <c:pt idx="89">
                  <c:v>-0.5</c:v>
                </c:pt>
                <c:pt idx="90">
                  <c:v>-0.64280000000000004</c:v>
                </c:pt>
                <c:pt idx="91">
                  <c:v>-0.76600000000000001</c:v>
                </c:pt>
                <c:pt idx="92">
                  <c:v>-0.86599999999999999</c:v>
                </c:pt>
                <c:pt idx="93">
                  <c:v>-0.93969999999999998</c:v>
                </c:pt>
                <c:pt idx="94">
                  <c:v>-0.98480000000000001</c:v>
                </c:pt>
                <c:pt idx="95">
                  <c:v>-1</c:v>
                </c:pt>
                <c:pt idx="96">
                  <c:v>-0.98480000000000001</c:v>
                </c:pt>
                <c:pt idx="97">
                  <c:v>-0.93969999999999998</c:v>
                </c:pt>
                <c:pt idx="98">
                  <c:v>-0.86599999999999999</c:v>
                </c:pt>
                <c:pt idx="99">
                  <c:v>-0.76600000000000001</c:v>
                </c:pt>
                <c:pt idx="100">
                  <c:v>-0.64280000000000004</c:v>
                </c:pt>
                <c:pt idx="101">
                  <c:v>-0.5</c:v>
                </c:pt>
                <c:pt idx="102">
                  <c:v>-0.34200000000000003</c:v>
                </c:pt>
                <c:pt idx="103">
                  <c:v>-0.1736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DB-4085-A3E9-F635E2CE60F0}"/>
            </c:ext>
          </c:extLst>
        </c:ser>
        <c:ser>
          <c:idx val="1"/>
          <c:order val="1"/>
          <c:tx>
            <c:v>Cd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'ARFL DTU'!$A$3:$A$107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'ARFL DTU'!$C$3:$C$107</c:f>
              <c:numCache>
                <c:formatCode>0.000</c:formatCode>
                <c:ptCount val="105"/>
                <c:pt idx="0">
                  <c:v>0</c:v>
                </c:pt>
                <c:pt idx="1">
                  <c:v>1.14E-2</c:v>
                </c:pt>
                <c:pt idx="2">
                  <c:v>4.5199999999999997E-2</c:v>
                </c:pt>
                <c:pt idx="3">
                  <c:v>0.10050000000000001</c:v>
                </c:pt>
                <c:pt idx="4">
                  <c:v>0.17549999999999999</c:v>
                </c:pt>
                <c:pt idx="5">
                  <c:v>0.26790000000000003</c:v>
                </c:pt>
                <c:pt idx="6">
                  <c:v>0.375</c:v>
                </c:pt>
                <c:pt idx="7">
                  <c:v>0.49349999999999999</c:v>
                </c:pt>
                <c:pt idx="8">
                  <c:v>0.61970000000000003</c:v>
                </c:pt>
                <c:pt idx="9">
                  <c:v>0.75</c:v>
                </c:pt>
                <c:pt idx="10">
                  <c:v>0.88029999999999997</c:v>
                </c:pt>
                <c:pt idx="11">
                  <c:v>1.0065</c:v>
                </c:pt>
                <c:pt idx="12">
                  <c:v>1.125</c:v>
                </c:pt>
                <c:pt idx="13">
                  <c:v>1.2321</c:v>
                </c:pt>
                <c:pt idx="14">
                  <c:v>1.3245</c:v>
                </c:pt>
                <c:pt idx="15">
                  <c:v>1.3995</c:v>
                </c:pt>
                <c:pt idx="16">
                  <c:v>1.4548000000000001</c:v>
                </c:pt>
                <c:pt idx="17">
                  <c:v>1.4885999999999999</c:v>
                </c:pt>
                <c:pt idx="18">
                  <c:v>1.5</c:v>
                </c:pt>
                <c:pt idx="19">
                  <c:v>1.4885999999999999</c:v>
                </c:pt>
                <c:pt idx="20">
                  <c:v>1.4548000000000001</c:v>
                </c:pt>
                <c:pt idx="21">
                  <c:v>1.3995</c:v>
                </c:pt>
                <c:pt idx="22">
                  <c:v>1.3245</c:v>
                </c:pt>
                <c:pt idx="23">
                  <c:v>1.2321</c:v>
                </c:pt>
                <c:pt idx="24">
                  <c:v>1.125</c:v>
                </c:pt>
                <c:pt idx="25">
                  <c:v>1.0065</c:v>
                </c:pt>
                <c:pt idx="26">
                  <c:v>0.86029999999999995</c:v>
                </c:pt>
                <c:pt idx="27">
                  <c:v>0.71199999999999997</c:v>
                </c:pt>
                <c:pt idx="28">
                  <c:v>0.54749999999999999</c:v>
                </c:pt>
                <c:pt idx="29">
                  <c:v>0.51649999999999996</c:v>
                </c:pt>
                <c:pt idx="30">
                  <c:v>0.48159999999999997</c:v>
                </c:pt>
                <c:pt idx="31">
                  <c:v>0.44869999999999999</c:v>
                </c:pt>
                <c:pt idx="32">
                  <c:v>0.41770000000000002</c:v>
                </c:pt>
                <c:pt idx="33">
                  <c:v>0.38479999999999998</c:v>
                </c:pt>
                <c:pt idx="34">
                  <c:v>0.35580000000000001</c:v>
                </c:pt>
                <c:pt idx="35">
                  <c:v>0.32890000000000003</c:v>
                </c:pt>
                <c:pt idx="36">
                  <c:v>0.30309999999999998</c:v>
                </c:pt>
                <c:pt idx="37">
                  <c:v>0.25600000000000001</c:v>
                </c:pt>
                <c:pt idx="38">
                  <c:v>0.20899999999999999</c:v>
                </c:pt>
                <c:pt idx="39">
                  <c:v>0.17560000000000001</c:v>
                </c:pt>
                <c:pt idx="40">
                  <c:v>0.14230000000000001</c:v>
                </c:pt>
                <c:pt idx="41">
                  <c:v>0.1183</c:v>
                </c:pt>
                <c:pt idx="42">
                  <c:v>9.4299999999999995E-2</c:v>
                </c:pt>
                <c:pt idx="43">
                  <c:v>7.6499999999999999E-2</c:v>
                </c:pt>
                <c:pt idx="44">
                  <c:v>5.8700000000000002E-2</c:v>
                </c:pt>
                <c:pt idx="45">
                  <c:v>4.5400000000000003E-2</c:v>
                </c:pt>
                <c:pt idx="46">
                  <c:v>3.2099999999999997E-2</c:v>
                </c:pt>
                <c:pt idx="47">
                  <c:v>2.3E-2</c:v>
                </c:pt>
                <c:pt idx="48">
                  <c:v>1.38E-2</c:v>
                </c:pt>
                <c:pt idx="49">
                  <c:v>1.18E-2</c:v>
                </c:pt>
                <c:pt idx="50">
                  <c:v>9.7999999999999997E-3</c:v>
                </c:pt>
                <c:pt idx="51">
                  <c:v>9.4999999999999998E-3</c:v>
                </c:pt>
                <c:pt idx="52">
                  <c:v>9.1999999999999998E-3</c:v>
                </c:pt>
                <c:pt idx="53">
                  <c:v>9.4000000000000004E-3</c:v>
                </c:pt>
                <c:pt idx="54">
                  <c:v>9.9000000000000008E-3</c:v>
                </c:pt>
                <c:pt idx="55">
                  <c:v>1.09E-2</c:v>
                </c:pt>
                <c:pt idx="56">
                  <c:v>1.24E-2</c:v>
                </c:pt>
                <c:pt idx="57">
                  <c:v>1.44E-2</c:v>
                </c:pt>
                <c:pt idx="58">
                  <c:v>1.7299999999999999E-2</c:v>
                </c:pt>
                <c:pt idx="59">
                  <c:v>2.2599999999999999E-2</c:v>
                </c:pt>
                <c:pt idx="60">
                  <c:v>3.5400000000000001E-2</c:v>
                </c:pt>
                <c:pt idx="61">
                  <c:v>6.4699999999999994E-2</c:v>
                </c:pt>
                <c:pt idx="62">
                  <c:v>0.10349999999999999</c:v>
                </c:pt>
                <c:pt idx="63">
                  <c:v>0.14369999999999999</c:v>
                </c:pt>
                <c:pt idx="64">
                  <c:v>0.18410000000000001</c:v>
                </c:pt>
                <c:pt idx="65">
                  <c:v>0.22900000000000001</c:v>
                </c:pt>
                <c:pt idx="66">
                  <c:v>0.27379999999999999</c:v>
                </c:pt>
                <c:pt idx="67">
                  <c:v>0.32779999999999998</c:v>
                </c:pt>
                <c:pt idx="68">
                  <c:v>0.38159999999999999</c:v>
                </c:pt>
                <c:pt idx="69">
                  <c:v>0.4209</c:v>
                </c:pt>
                <c:pt idx="70">
                  <c:v>0.45040000000000002</c:v>
                </c:pt>
                <c:pt idx="71">
                  <c:v>0.48149999999999998</c:v>
                </c:pt>
                <c:pt idx="72">
                  <c:v>0.51049999999999995</c:v>
                </c:pt>
                <c:pt idx="73">
                  <c:v>0.54500000000000004</c:v>
                </c:pt>
                <c:pt idx="74">
                  <c:v>0.57369999999999999</c:v>
                </c:pt>
                <c:pt idx="75">
                  <c:v>0.59989999999999999</c:v>
                </c:pt>
                <c:pt idx="76">
                  <c:v>0.628</c:v>
                </c:pt>
                <c:pt idx="77">
                  <c:v>0.75780000000000003</c:v>
                </c:pt>
                <c:pt idx="78">
                  <c:v>0.88200000000000001</c:v>
                </c:pt>
                <c:pt idx="79">
                  <c:v>1.0104</c:v>
                </c:pt>
                <c:pt idx="80">
                  <c:v>1.125</c:v>
                </c:pt>
                <c:pt idx="81">
                  <c:v>1.2321</c:v>
                </c:pt>
                <c:pt idx="82">
                  <c:v>1.3245</c:v>
                </c:pt>
                <c:pt idx="83">
                  <c:v>1.3995</c:v>
                </c:pt>
                <c:pt idx="84">
                  <c:v>1.4548000000000001</c:v>
                </c:pt>
                <c:pt idx="85">
                  <c:v>1.4885999999999999</c:v>
                </c:pt>
                <c:pt idx="86">
                  <c:v>1.5</c:v>
                </c:pt>
                <c:pt idx="87">
                  <c:v>1.4885999999999999</c:v>
                </c:pt>
                <c:pt idx="88">
                  <c:v>1.4548000000000001</c:v>
                </c:pt>
                <c:pt idx="89">
                  <c:v>1.3995</c:v>
                </c:pt>
                <c:pt idx="90">
                  <c:v>1.3245</c:v>
                </c:pt>
                <c:pt idx="91">
                  <c:v>1.2321</c:v>
                </c:pt>
                <c:pt idx="92">
                  <c:v>1.125</c:v>
                </c:pt>
                <c:pt idx="93">
                  <c:v>1.0065</c:v>
                </c:pt>
                <c:pt idx="94">
                  <c:v>0.88029999999999997</c:v>
                </c:pt>
                <c:pt idx="95">
                  <c:v>0.75</c:v>
                </c:pt>
                <c:pt idx="96">
                  <c:v>0.61970000000000003</c:v>
                </c:pt>
                <c:pt idx="97">
                  <c:v>0.49349999999999999</c:v>
                </c:pt>
                <c:pt idx="98">
                  <c:v>0.375</c:v>
                </c:pt>
                <c:pt idx="99">
                  <c:v>0.26790000000000003</c:v>
                </c:pt>
                <c:pt idx="100">
                  <c:v>0.17549999999999999</c:v>
                </c:pt>
                <c:pt idx="101">
                  <c:v>0.10050000000000001</c:v>
                </c:pt>
                <c:pt idx="102">
                  <c:v>4.5199999999999997E-2</c:v>
                </c:pt>
                <c:pt idx="103">
                  <c:v>1.14E-2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DB-4085-A3E9-F635E2CE6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547152"/>
        <c:axId val="1409549072"/>
      </c:scatterChart>
      <c:valAx>
        <c:axId val="1409547152"/>
        <c:scaling>
          <c:orientation val="minMax"/>
          <c:max val="5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Angle of Attack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549072"/>
        <c:crossesAt val="-1.5"/>
        <c:crossBetween val="midCat"/>
        <c:majorUnit val="10"/>
      </c:valAx>
      <c:valAx>
        <c:axId val="140954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Cl and 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547152"/>
        <c:crossesAt val="-20"/>
        <c:crossBetween val="midCat"/>
      </c:valAx>
      <c:spPr>
        <a:noFill/>
        <a:ln>
          <a:noFill/>
        </a:ln>
        <a:effectLst/>
      </c:spPr>
    </c:plotArea>
    <c:legend>
      <c:legendPos val="t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1089099954771615"/>
          <c:y val="0.12285613420590547"/>
          <c:w val="0.130140279276488"/>
          <c:h val="0.1411892324066916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Aerofoil Lift</a:t>
            </a:r>
            <a:r>
              <a:rPr lang="en-US" b="1" baseline="0"/>
              <a:t> and Drag Coefficients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ARFL!$A$3:$A$107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ARFL!$B$3:$B$107</c:f>
              <c:numCache>
                <c:formatCode>0.000</c:formatCode>
                <c:ptCount val="105"/>
                <c:pt idx="0">
                  <c:v>0</c:v>
                </c:pt>
                <c:pt idx="1">
                  <c:v>0.1736</c:v>
                </c:pt>
                <c:pt idx="2">
                  <c:v>0.34200000000000003</c:v>
                </c:pt>
                <c:pt idx="3">
                  <c:v>0.5</c:v>
                </c:pt>
                <c:pt idx="4">
                  <c:v>0.64280000000000004</c:v>
                </c:pt>
                <c:pt idx="5">
                  <c:v>0.76600000000000001</c:v>
                </c:pt>
                <c:pt idx="6">
                  <c:v>0.86599999999999999</c:v>
                </c:pt>
                <c:pt idx="7">
                  <c:v>0.93969999999999998</c:v>
                </c:pt>
                <c:pt idx="8">
                  <c:v>0.98480000000000001</c:v>
                </c:pt>
                <c:pt idx="9">
                  <c:v>1</c:v>
                </c:pt>
                <c:pt idx="10">
                  <c:v>0.98480000000000001</c:v>
                </c:pt>
                <c:pt idx="11">
                  <c:v>0.93969999999999998</c:v>
                </c:pt>
                <c:pt idx="12">
                  <c:v>0.86599999999999999</c:v>
                </c:pt>
                <c:pt idx="13">
                  <c:v>0.76600000000000001</c:v>
                </c:pt>
                <c:pt idx="14">
                  <c:v>0.64280000000000004</c:v>
                </c:pt>
                <c:pt idx="15">
                  <c:v>0.5</c:v>
                </c:pt>
                <c:pt idx="16">
                  <c:v>0.34200000000000003</c:v>
                </c:pt>
                <c:pt idx="17">
                  <c:v>0.1736</c:v>
                </c:pt>
                <c:pt idx="18">
                  <c:v>0</c:v>
                </c:pt>
                <c:pt idx="19">
                  <c:v>-0.1736</c:v>
                </c:pt>
                <c:pt idx="20">
                  <c:v>-0.34200000000000003</c:v>
                </c:pt>
                <c:pt idx="21">
                  <c:v>-0.5</c:v>
                </c:pt>
                <c:pt idx="22">
                  <c:v>-0.64280000000000004</c:v>
                </c:pt>
                <c:pt idx="23">
                  <c:v>-0.76600000000000001</c:v>
                </c:pt>
                <c:pt idx="24">
                  <c:v>-0.86599999999999999</c:v>
                </c:pt>
                <c:pt idx="25">
                  <c:v>-0.93969999999999998</c:v>
                </c:pt>
                <c:pt idx="26">
                  <c:v>-0.98480000000000001</c:v>
                </c:pt>
                <c:pt idx="27">
                  <c:v>-1.012</c:v>
                </c:pt>
                <c:pt idx="28">
                  <c:v>-1.0376000000000001</c:v>
                </c:pt>
                <c:pt idx="29">
                  <c:v>-1.0419</c:v>
                </c:pt>
                <c:pt idx="30">
                  <c:v>-1.0462</c:v>
                </c:pt>
                <c:pt idx="31">
                  <c:v>-1.0525</c:v>
                </c:pt>
                <c:pt idx="32">
                  <c:v>-1.0568</c:v>
                </c:pt>
                <c:pt idx="33">
                  <c:v>-1.0610999999999999</c:v>
                </c:pt>
                <c:pt idx="34">
                  <c:v>-1.0653999999999999</c:v>
                </c:pt>
                <c:pt idx="35">
                  <c:v>-1.0717000000000001</c:v>
                </c:pt>
                <c:pt idx="36">
                  <c:v>-1.0765</c:v>
                </c:pt>
                <c:pt idx="37">
                  <c:v>-1.0889</c:v>
                </c:pt>
                <c:pt idx="38">
                  <c:v>-1.0992999999999999</c:v>
                </c:pt>
                <c:pt idx="39">
                  <c:v>-1.1168</c:v>
                </c:pt>
                <c:pt idx="40">
                  <c:v>-1.1282000000000001</c:v>
                </c:pt>
                <c:pt idx="41">
                  <c:v>-1.1214999999999999</c:v>
                </c:pt>
                <c:pt idx="42">
                  <c:v>-1.1148</c:v>
                </c:pt>
                <c:pt idx="43">
                  <c:v>-1.0919000000000001</c:v>
                </c:pt>
                <c:pt idx="44">
                  <c:v>-1.0690999999999999</c:v>
                </c:pt>
                <c:pt idx="45">
                  <c:v>-1.0379</c:v>
                </c:pt>
                <c:pt idx="46">
                  <c:v>-1.0066999999999999</c:v>
                </c:pt>
                <c:pt idx="47">
                  <c:v>-0.84789999999999999</c:v>
                </c:pt>
                <c:pt idx="48">
                  <c:v>-0.68920000000000003</c:v>
                </c:pt>
                <c:pt idx="49">
                  <c:v>-0.42780000000000001</c:v>
                </c:pt>
                <c:pt idx="50">
                  <c:v>-0.16650000000000001</c:v>
                </c:pt>
                <c:pt idx="51">
                  <c:v>8.6300000000000002E-2</c:v>
                </c:pt>
                <c:pt idx="52">
                  <c:v>0.33910000000000001</c:v>
                </c:pt>
                <c:pt idx="53">
                  <c:v>0.5867</c:v>
                </c:pt>
                <c:pt idx="54">
                  <c:v>0.83009999999999995</c:v>
                </c:pt>
                <c:pt idx="55">
                  <c:v>1.0656000000000001</c:v>
                </c:pt>
                <c:pt idx="56">
                  <c:v>1.2914000000000001</c:v>
                </c:pt>
                <c:pt idx="57">
                  <c:v>1.5012000000000001</c:v>
                </c:pt>
                <c:pt idx="58">
                  <c:v>1.6886000000000001</c:v>
                </c:pt>
                <c:pt idx="59">
                  <c:v>1.8103</c:v>
                </c:pt>
                <c:pt idx="60">
                  <c:v>1.8139000000000001</c:v>
                </c:pt>
                <c:pt idx="61">
                  <c:v>1.7544999999999999</c:v>
                </c:pt>
                <c:pt idx="62">
                  <c:v>1.6071</c:v>
                </c:pt>
                <c:pt idx="63">
                  <c:v>1.5257000000000001</c:v>
                </c:pt>
                <c:pt idx="64">
                  <c:v>1.4428000000000001</c:v>
                </c:pt>
                <c:pt idx="65">
                  <c:v>1.3826000000000001</c:v>
                </c:pt>
                <c:pt idx="66">
                  <c:v>1.3218000000000001</c:v>
                </c:pt>
                <c:pt idx="67">
                  <c:v>1.2583</c:v>
                </c:pt>
                <c:pt idx="68">
                  <c:v>1.1943999999999999</c:v>
                </c:pt>
                <c:pt idx="69">
                  <c:v>1.1734</c:v>
                </c:pt>
                <c:pt idx="70">
                  <c:v>1.1568000000000001</c:v>
                </c:pt>
                <c:pt idx="71">
                  <c:v>1.1378999999999999</c:v>
                </c:pt>
                <c:pt idx="72">
                  <c:v>1.1248</c:v>
                </c:pt>
                <c:pt idx="73">
                  <c:v>1.1176999999999999</c:v>
                </c:pt>
                <c:pt idx="74">
                  <c:v>1.1024</c:v>
                </c:pt>
                <c:pt idx="75">
                  <c:v>1.0891</c:v>
                </c:pt>
                <c:pt idx="76">
                  <c:v>1.0754999999999999</c:v>
                </c:pt>
                <c:pt idx="77">
                  <c:v>1.0175000000000001</c:v>
                </c:pt>
                <c:pt idx="78">
                  <c:v>0.97160000000000002</c:v>
                </c:pt>
                <c:pt idx="79">
                  <c:v>0.92679999999999996</c:v>
                </c:pt>
                <c:pt idx="80">
                  <c:v>0.86599999999999999</c:v>
                </c:pt>
                <c:pt idx="81">
                  <c:v>0.76600000000000001</c:v>
                </c:pt>
                <c:pt idx="82">
                  <c:v>0.64280000000000004</c:v>
                </c:pt>
                <c:pt idx="83">
                  <c:v>0.5</c:v>
                </c:pt>
                <c:pt idx="84">
                  <c:v>0.34200000000000003</c:v>
                </c:pt>
                <c:pt idx="85">
                  <c:v>0.1736</c:v>
                </c:pt>
                <c:pt idx="86">
                  <c:v>0</c:v>
                </c:pt>
                <c:pt idx="87">
                  <c:v>-0.1736</c:v>
                </c:pt>
                <c:pt idx="88">
                  <c:v>-0.34200000000000003</c:v>
                </c:pt>
                <c:pt idx="89">
                  <c:v>-0.5</c:v>
                </c:pt>
                <c:pt idx="90">
                  <c:v>-0.64280000000000004</c:v>
                </c:pt>
                <c:pt idx="91">
                  <c:v>-0.76600000000000001</c:v>
                </c:pt>
                <c:pt idx="92">
                  <c:v>-0.86599999999999999</c:v>
                </c:pt>
                <c:pt idx="93">
                  <c:v>-0.93969999999999998</c:v>
                </c:pt>
                <c:pt idx="94">
                  <c:v>-0.98480000000000001</c:v>
                </c:pt>
                <c:pt idx="95">
                  <c:v>-1</c:v>
                </c:pt>
                <c:pt idx="96">
                  <c:v>-0.98480000000000001</c:v>
                </c:pt>
                <c:pt idx="97">
                  <c:v>-0.93969999999999998</c:v>
                </c:pt>
                <c:pt idx="98">
                  <c:v>-0.86599999999999999</c:v>
                </c:pt>
                <c:pt idx="99">
                  <c:v>-0.76600000000000001</c:v>
                </c:pt>
                <c:pt idx="100">
                  <c:v>-0.64280000000000004</c:v>
                </c:pt>
                <c:pt idx="101">
                  <c:v>-0.5</c:v>
                </c:pt>
                <c:pt idx="102">
                  <c:v>-0.34200000000000003</c:v>
                </c:pt>
                <c:pt idx="103">
                  <c:v>-0.1736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B7-4ECC-A029-DB620B1F4280}"/>
            </c:ext>
          </c:extLst>
        </c:ser>
        <c:ser>
          <c:idx val="1"/>
          <c:order val="1"/>
          <c:tx>
            <c:v>Cd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ARFL!$A$3:$A$107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ARFL!$C$3:$C$107</c:f>
              <c:numCache>
                <c:formatCode>0.000</c:formatCode>
                <c:ptCount val="105"/>
                <c:pt idx="0">
                  <c:v>0</c:v>
                </c:pt>
                <c:pt idx="1">
                  <c:v>1.14E-2</c:v>
                </c:pt>
                <c:pt idx="2">
                  <c:v>4.5199999999999997E-2</c:v>
                </c:pt>
                <c:pt idx="3">
                  <c:v>0.10050000000000001</c:v>
                </c:pt>
                <c:pt idx="4">
                  <c:v>0.17549999999999999</c:v>
                </c:pt>
                <c:pt idx="5">
                  <c:v>0.26790000000000003</c:v>
                </c:pt>
                <c:pt idx="6">
                  <c:v>0.375</c:v>
                </c:pt>
                <c:pt idx="7">
                  <c:v>0.49349999999999999</c:v>
                </c:pt>
                <c:pt idx="8">
                  <c:v>0.61970000000000003</c:v>
                </c:pt>
                <c:pt idx="9">
                  <c:v>0.75</c:v>
                </c:pt>
                <c:pt idx="10">
                  <c:v>0.88029999999999997</c:v>
                </c:pt>
                <c:pt idx="11">
                  <c:v>1.0065</c:v>
                </c:pt>
                <c:pt idx="12">
                  <c:v>1.125</c:v>
                </c:pt>
                <c:pt idx="13">
                  <c:v>1.2321</c:v>
                </c:pt>
                <c:pt idx="14">
                  <c:v>1.3245</c:v>
                </c:pt>
                <c:pt idx="15">
                  <c:v>1.3995</c:v>
                </c:pt>
                <c:pt idx="16">
                  <c:v>1.4548000000000001</c:v>
                </c:pt>
                <c:pt idx="17">
                  <c:v>1.4885999999999999</c:v>
                </c:pt>
                <c:pt idx="18">
                  <c:v>1.5</c:v>
                </c:pt>
                <c:pt idx="19">
                  <c:v>1.4885999999999999</c:v>
                </c:pt>
                <c:pt idx="20">
                  <c:v>1.4548000000000001</c:v>
                </c:pt>
                <c:pt idx="21">
                  <c:v>1.3995</c:v>
                </c:pt>
                <c:pt idx="22">
                  <c:v>1.3245</c:v>
                </c:pt>
                <c:pt idx="23">
                  <c:v>1.2321</c:v>
                </c:pt>
                <c:pt idx="24">
                  <c:v>1.125</c:v>
                </c:pt>
                <c:pt idx="25">
                  <c:v>1.0065</c:v>
                </c:pt>
                <c:pt idx="26">
                  <c:v>0.86029999999999995</c:v>
                </c:pt>
                <c:pt idx="27">
                  <c:v>0.71199999999999997</c:v>
                </c:pt>
                <c:pt idx="28">
                  <c:v>0.54749999999999999</c:v>
                </c:pt>
                <c:pt idx="29">
                  <c:v>0.51649999999999996</c:v>
                </c:pt>
                <c:pt idx="30">
                  <c:v>0.48159999999999997</c:v>
                </c:pt>
                <c:pt idx="31">
                  <c:v>0.44869999999999999</c:v>
                </c:pt>
                <c:pt idx="32">
                  <c:v>0.41770000000000002</c:v>
                </c:pt>
                <c:pt idx="33">
                  <c:v>0.38479999999999998</c:v>
                </c:pt>
                <c:pt idx="34">
                  <c:v>0.35580000000000001</c:v>
                </c:pt>
                <c:pt idx="35">
                  <c:v>0.32890000000000003</c:v>
                </c:pt>
                <c:pt idx="36">
                  <c:v>0.30309999999999998</c:v>
                </c:pt>
                <c:pt idx="37">
                  <c:v>0.25600000000000001</c:v>
                </c:pt>
                <c:pt idx="38">
                  <c:v>0.20899999999999999</c:v>
                </c:pt>
                <c:pt idx="39">
                  <c:v>0.17560000000000001</c:v>
                </c:pt>
                <c:pt idx="40">
                  <c:v>0.14230000000000001</c:v>
                </c:pt>
                <c:pt idx="41">
                  <c:v>0.1183</c:v>
                </c:pt>
                <c:pt idx="42">
                  <c:v>9.4299999999999995E-2</c:v>
                </c:pt>
                <c:pt idx="43">
                  <c:v>7.6499999999999999E-2</c:v>
                </c:pt>
                <c:pt idx="44">
                  <c:v>5.8700000000000002E-2</c:v>
                </c:pt>
                <c:pt idx="45">
                  <c:v>4.5400000000000003E-2</c:v>
                </c:pt>
                <c:pt idx="46">
                  <c:v>3.2099999999999997E-2</c:v>
                </c:pt>
                <c:pt idx="47">
                  <c:v>2.3E-2</c:v>
                </c:pt>
                <c:pt idx="48">
                  <c:v>1.38E-2</c:v>
                </c:pt>
                <c:pt idx="49">
                  <c:v>1.18E-2</c:v>
                </c:pt>
                <c:pt idx="50">
                  <c:v>9.7999999999999997E-3</c:v>
                </c:pt>
                <c:pt idx="51">
                  <c:v>9.4999999999999998E-3</c:v>
                </c:pt>
                <c:pt idx="52">
                  <c:v>9.1999999999999998E-3</c:v>
                </c:pt>
                <c:pt idx="53">
                  <c:v>9.4000000000000004E-3</c:v>
                </c:pt>
                <c:pt idx="54">
                  <c:v>9.9000000000000008E-3</c:v>
                </c:pt>
                <c:pt idx="55">
                  <c:v>1.09E-2</c:v>
                </c:pt>
                <c:pt idx="56">
                  <c:v>1.24E-2</c:v>
                </c:pt>
                <c:pt idx="57">
                  <c:v>1.44E-2</c:v>
                </c:pt>
                <c:pt idx="58">
                  <c:v>1.7299999999999999E-2</c:v>
                </c:pt>
                <c:pt idx="59">
                  <c:v>2.2599999999999999E-2</c:v>
                </c:pt>
                <c:pt idx="60">
                  <c:v>3.5400000000000001E-2</c:v>
                </c:pt>
                <c:pt idx="61">
                  <c:v>6.4699999999999994E-2</c:v>
                </c:pt>
                <c:pt idx="62">
                  <c:v>0.10349999999999999</c:v>
                </c:pt>
                <c:pt idx="63">
                  <c:v>0.14369999999999999</c:v>
                </c:pt>
                <c:pt idx="64">
                  <c:v>0.18410000000000001</c:v>
                </c:pt>
                <c:pt idx="65">
                  <c:v>0.22900000000000001</c:v>
                </c:pt>
                <c:pt idx="66">
                  <c:v>0.27379999999999999</c:v>
                </c:pt>
                <c:pt idx="67">
                  <c:v>0.32779999999999998</c:v>
                </c:pt>
                <c:pt idx="68">
                  <c:v>0.38159999999999999</c:v>
                </c:pt>
                <c:pt idx="69">
                  <c:v>0.4209</c:v>
                </c:pt>
                <c:pt idx="70">
                  <c:v>0.45040000000000002</c:v>
                </c:pt>
                <c:pt idx="71">
                  <c:v>0.48149999999999998</c:v>
                </c:pt>
                <c:pt idx="72">
                  <c:v>0.51049999999999995</c:v>
                </c:pt>
                <c:pt idx="73">
                  <c:v>0.54500000000000004</c:v>
                </c:pt>
                <c:pt idx="74">
                  <c:v>0.57369999999999999</c:v>
                </c:pt>
                <c:pt idx="75">
                  <c:v>0.59989999999999999</c:v>
                </c:pt>
                <c:pt idx="76">
                  <c:v>0.628</c:v>
                </c:pt>
                <c:pt idx="77">
                  <c:v>0.75780000000000003</c:v>
                </c:pt>
                <c:pt idx="78">
                  <c:v>0.88200000000000001</c:v>
                </c:pt>
                <c:pt idx="79">
                  <c:v>1.0104</c:v>
                </c:pt>
                <c:pt idx="80">
                  <c:v>1.125</c:v>
                </c:pt>
                <c:pt idx="81">
                  <c:v>1.2321</c:v>
                </c:pt>
                <c:pt idx="82">
                  <c:v>1.3245</c:v>
                </c:pt>
                <c:pt idx="83">
                  <c:v>1.3995</c:v>
                </c:pt>
                <c:pt idx="84">
                  <c:v>1.4548000000000001</c:v>
                </c:pt>
                <c:pt idx="85">
                  <c:v>1.4885999999999999</c:v>
                </c:pt>
                <c:pt idx="86">
                  <c:v>1.5</c:v>
                </c:pt>
                <c:pt idx="87">
                  <c:v>1.4885999999999999</c:v>
                </c:pt>
                <c:pt idx="88">
                  <c:v>1.4548000000000001</c:v>
                </c:pt>
                <c:pt idx="89">
                  <c:v>1.3995</c:v>
                </c:pt>
                <c:pt idx="90">
                  <c:v>1.3245</c:v>
                </c:pt>
                <c:pt idx="91">
                  <c:v>1.2321</c:v>
                </c:pt>
                <c:pt idx="92">
                  <c:v>1.125</c:v>
                </c:pt>
                <c:pt idx="93">
                  <c:v>1.0065</c:v>
                </c:pt>
                <c:pt idx="94">
                  <c:v>0.88029999999999997</c:v>
                </c:pt>
                <c:pt idx="95">
                  <c:v>0.75</c:v>
                </c:pt>
                <c:pt idx="96">
                  <c:v>0.61970000000000003</c:v>
                </c:pt>
                <c:pt idx="97">
                  <c:v>0.49349999999999999</c:v>
                </c:pt>
                <c:pt idx="98">
                  <c:v>0.375</c:v>
                </c:pt>
                <c:pt idx="99">
                  <c:v>0.26790000000000003</c:v>
                </c:pt>
                <c:pt idx="100">
                  <c:v>0.17549999999999999</c:v>
                </c:pt>
                <c:pt idx="101">
                  <c:v>0.10050000000000001</c:v>
                </c:pt>
                <c:pt idx="102">
                  <c:v>4.5199999999999997E-2</c:v>
                </c:pt>
                <c:pt idx="103">
                  <c:v>1.14E-2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B7-4ECC-A029-DB620B1F4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547152"/>
        <c:axId val="1409549072"/>
      </c:scatterChart>
      <c:valAx>
        <c:axId val="1409547152"/>
        <c:scaling>
          <c:orientation val="minMax"/>
          <c:max val="5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Angle of Attack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549072"/>
        <c:crossesAt val="-1.5"/>
        <c:crossBetween val="midCat"/>
        <c:majorUnit val="10"/>
      </c:valAx>
      <c:valAx>
        <c:axId val="140954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Cl and 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547152"/>
        <c:crossesAt val="-20"/>
        <c:crossBetween val="midCat"/>
      </c:valAx>
      <c:spPr>
        <a:noFill/>
        <a:ln>
          <a:noFill/>
        </a:ln>
        <a:effectLst/>
      </c:spPr>
    </c:plotArea>
    <c:legend>
      <c:legendPos val="t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1089099954771615"/>
          <c:y val="0.12285613420590547"/>
          <c:w val="0.130140279276488"/>
          <c:h val="0.1411892324066916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Thrust Coef.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Performance!$P$13:$P$21</c:f>
              <c:numCache>
                <c:formatCode>General</c:formatCode>
                <c:ptCount val="9"/>
                <c:pt idx="0">
                  <c:v>8.8012888845513573E-2</c:v>
                </c:pt>
                <c:pt idx="1">
                  <c:v>0.1960916483531214</c:v>
                </c:pt>
                <c:pt idx="2">
                  <c:v>0.28454391755304215</c:v>
                </c:pt>
                <c:pt idx="3">
                  <c:v>0.37091123997890679</c:v>
                </c:pt>
                <c:pt idx="4">
                  <c:v>0.45660981746187035</c:v>
                </c:pt>
                <c:pt idx="5">
                  <c:v>0.54245000991680914</c:v>
                </c:pt>
                <c:pt idx="6">
                  <c:v>0.62777260411170532</c:v>
                </c:pt>
                <c:pt idx="7">
                  <c:v>0.70666847190141113</c:v>
                </c:pt>
                <c:pt idx="8">
                  <c:v>0.75714123624365659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D6-45CB-BBBF-972B64A41518}"/>
            </c:ext>
          </c:extLst>
        </c:ser>
        <c:ser>
          <c:idx val="1"/>
          <c:order val="1"/>
          <c:tx>
            <c:v>Torque Coef.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Performance!$Q$13:$Q$21</c:f>
              <c:numCache>
                <c:formatCode>General</c:formatCode>
                <c:ptCount val="9"/>
                <c:pt idx="0">
                  <c:v>7.0333217520710103E-2</c:v>
                </c:pt>
                <c:pt idx="1">
                  <c:v>0.15184124608301297</c:v>
                </c:pt>
                <c:pt idx="2">
                  <c:v>0.2252986268225125</c:v>
                </c:pt>
                <c:pt idx="3">
                  <c:v>0.29440317001720667</c:v>
                </c:pt>
                <c:pt idx="4">
                  <c:v>0.36139277743298076</c:v>
                </c:pt>
                <c:pt idx="5">
                  <c:v>0.42826765225883717</c:v>
                </c:pt>
                <c:pt idx="6">
                  <c:v>0.49288481656345351</c:v>
                </c:pt>
                <c:pt idx="7">
                  <c:v>0.53270823511898824</c:v>
                </c:pt>
                <c:pt idx="8">
                  <c:v>0.46653378436097215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D6-45CB-BBBF-972B64A41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870608"/>
        <c:axId val="781875888"/>
      </c:scatterChart>
      <c:valAx>
        <c:axId val="78187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r/R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75888"/>
        <c:crosses val="autoZero"/>
        <c:crossBetween val="midCat"/>
      </c:valAx>
      <c:valAx>
        <c:axId val="78187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Coefficients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7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Sectional Axial Force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Performance!$N$13:$N$21</c:f>
              <c:numCache>
                <c:formatCode>General</c:formatCode>
                <c:ptCount val="9"/>
                <c:pt idx="0">
                  <c:v>6082.2068085187175</c:v>
                </c:pt>
                <c:pt idx="1">
                  <c:v>13551.082964683404</c:v>
                </c:pt>
                <c:pt idx="2">
                  <c:v>19663.653532625987</c:v>
                </c:pt>
                <c:pt idx="3">
                  <c:v>25632.142050417693</c:v>
                </c:pt>
                <c:pt idx="4">
                  <c:v>31554.416370513703</c:v>
                </c:pt>
                <c:pt idx="5">
                  <c:v>37486.47711573488</c:v>
                </c:pt>
                <c:pt idx="6">
                  <c:v>43382.768785510358</c:v>
                </c:pt>
                <c:pt idx="7">
                  <c:v>48834.9359683968</c:v>
                </c:pt>
                <c:pt idx="8">
                  <c:v>52322.90000359634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0B-4840-BE23-8B3589E90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870608"/>
        <c:axId val="781875888"/>
      </c:scatterChart>
      <c:scatterChart>
        <c:scatterStyle val="smoothMarker"/>
        <c:varyColors val="0"/>
        <c:ser>
          <c:idx val="1"/>
          <c:order val="1"/>
          <c:tx>
            <c:v>Sectional Tangential Force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Performance!$O$13:$O$21</c:f>
              <c:numCache>
                <c:formatCode>General</c:formatCode>
                <c:ptCount val="9"/>
                <c:pt idx="0">
                  <c:v>2598.4698369248144</c:v>
                </c:pt>
                <c:pt idx="1">
                  <c:v>3365.8767096637475</c:v>
                </c:pt>
                <c:pt idx="2">
                  <c:v>3567.2944148829465</c:v>
                </c:pt>
                <c:pt idx="3">
                  <c:v>3625.5877575888453</c:v>
                </c:pt>
                <c:pt idx="4">
                  <c:v>3641.3735457305006</c:v>
                </c:pt>
                <c:pt idx="5">
                  <c:v>3651.3239812736701</c:v>
                </c:pt>
                <c:pt idx="6">
                  <c:v>3641.938685774554</c:v>
                </c:pt>
                <c:pt idx="7">
                  <c:v>3473.1131980181635</c:v>
                </c:pt>
                <c:pt idx="8">
                  <c:v>2721.4975466675569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0B-4840-BE23-8B3589E90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520223"/>
        <c:axId val="1125515423"/>
      </c:scatterChart>
      <c:valAx>
        <c:axId val="78187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r/R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75888"/>
        <c:crosses val="autoZero"/>
        <c:crossBetween val="midCat"/>
      </c:valAx>
      <c:valAx>
        <c:axId val="78187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Faxi / </a:t>
                </a:r>
                <a:r>
                  <a:rPr lang="el-GR"/>
                  <a:t>Δ</a:t>
                </a:r>
                <a:r>
                  <a:rPr lang="en-GB"/>
                  <a:t>r (N/m)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70608"/>
        <c:crosses val="autoZero"/>
        <c:crossBetween val="midCat"/>
      </c:valAx>
      <c:valAx>
        <c:axId val="112551542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Ftan / </a:t>
                </a:r>
                <a:r>
                  <a:rPr lang="el-GR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Δ</a:t>
                </a: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 (N/m)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520223"/>
        <c:crosses val="max"/>
        <c:crossBetween val="midCat"/>
      </c:valAx>
      <c:valAx>
        <c:axId val="1125520223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1125515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Operation Power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'OpCurve DTU'!$A$4:$A$25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'OpCurve DTU'!$G$4:$G$25</c:f>
              <c:numCache>
                <c:formatCode>0.000</c:formatCode>
                <c:ptCount val="22"/>
                <c:pt idx="0">
                  <c:v>0.27499174601894694</c:v>
                </c:pt>
                <c:pt idx="1">
                  <c:v>0.89362538233326361</c:v>
                </c:pt>
                <c:pt idx="2">
                  <c:v>1.8560964933995776</c:v>
                </c:pt>
                <c:pt idx="3">
                  <c:v>3.2310552234943133</c:v>
                </c:pt>
                <c:pt idx="4">
                  <c:v>5.087347301350519</c:v>
                </c:pt>
                <c:pt idx="5">
                  <c:v>7.5278501511545173</c:v>
                </c:pt>
                <c:pt idx="6">
                  <c:v>10.724482510282304</c:v>
                </c:pt>
                <c:pt idx="7">
                  <c:v>14.849358700566508</c:v>
                </c:pt>
                <c:pt idx="8">
                  <c:v>19.317876781146079</c:v>
                </c:pt>
                <c:pt idx="9">
                  <c:v>20.727062791150715</c:v>
                </c:pt>
                <c:pt idx="10">
                  <c:v>20.727062791150715</c:v>
                </c:pt>
                <c:pt idx="11">
                  <c:v>20.727062791150715</c:v>
                </c:pt>
                <c:pt idx="12">
                  <c:v>20.727062791150715</c:v>
                </c:pt>
                <c:pt idx="13">
                  <c:v>20.727062791150711</c:v>
                </c:pt>
                <c:pt idx="14">
                  <c:v>20.727062791150715</c:v>
                </c:pt>
                <c:pt idx="15">
                  <c:v>20.727062791150711</c:v>
                </c:pt>
                <c:pt idx="16">
                  <c:v>20.727062791150715</c:v>
                </c:pt>
                <c:pt idx="17">
                  <c:v>20.727062791150715</c:v>
                </c:pt>
                <c:pt idx="18">
                  <c:v>20.727062791150715</c:v>
                </c:pt>
                <c:pt idx="19">
                  <c:v>20.727062791150715</c:v>
                </c:pt>
                <c:pt idx="20">
                  <c:v>20.727062791150711</c:v>
                </c:pt>
                <c:pt idx="21">
                  <c:v>20.727062791150718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22-4B4A-95D1-8AA6561EB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Cp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'OpCurve DTU'!$A$4:$A$25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'OpCurve DTU'!$F$4:$F$25</c:f>
              <c:numCache>
                <c:formatCode>0.000</c:formatCode>
                <c:ptCount val="22"/>
                <c:pt idx="0">
                  <c:v>0.14359880038093892</c:v>
                </c:pt>
                <c:pt idx="1">
                  <c:v>0.23892225782186424</c:v>
                </c:pt>
                <c:pt idx="2">
                  <c:v>0.28718246996788582</c:v>
                </c:pt>
                <c:pt idx="3">
                  <c:v>0.3148193283818187</c:v>
                </c:pt>
                <c:pt idx="4">
                  <c:v>0.33207222588092128</c:v>
                </c:pt>
                <c:pt idx="5">
                  <c:v>0.34510763256742644</c:v>
                </c:pt>
                <c:pt idx="6">
                  <c:v>0.35841606924781905</c:v>
                </c:pt>
                <c:pt idx="7">
                  <c:v>0.3728556856600454</c:v>
                </c:pt>
                <c:pt idx="8">
                  <c:v>0.37361713064710333</c:v>
                </c:pt>
                <c:pt idx="9">
                  <c:v>0.3152962703258485</c:v>
                </c:pt>
                <c:pt idx="10">
                  <c:v>0.25244384326016372</c:v>
                </c:pt>
                <c:pt idx="11">
                  <c:v>0.2052461943424857</c:v>
                </c:pt>
                <c:pt idx="12">
                  <c:v>0.16911765280905497</c:v>
                </c:pt>
                <c:pt idx="13">
                  <c:v>0.14099448522407676</c:v>
                </c:pt>
                <c:pt idx="14">
                  <c:v>0.11877673283708662</c:v>
                </c:pt>
                <c:pt idx="15">
                  <c:v>0.10099225920774006</c:v>
                </c:pt>
                <c:pt idx="16">
                  <c:v>8.6588238238236151E-2</c:v>
                </c:pt>
                <c:pt idx="17">
                  <c:v>7.4798175780789247E-2</c:v>
                </c:pt>
                <c:pt idx="18">
                  <c:v>6.5055024972378778E-2</c:v>
                </c:pt>
                <c:pt idx="19">
                  <c:v>5.6933172179328445E-2</c:v>
                </c:pt>
                <c:pt idx="20">
                  <c:v>5.0108934165645914E-2</c:v>
                </c:pt>
                <c:pt idx="21">
                  <c:v>4.4333177977976916E-2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22-4B4A-95D1-8AA6561EB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986784"/>
        <c:axId val="1787987744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8944"/>
        <c:crosses val="autoZero"/>
        <c:crossBetween val="midCat"/>
        <c:majorUnit val="3"/>
      </c:valAx>
      <c:valAx>
        <c:axId val="1787987744"/>
        <c:scaling>
          <c:orientation val="minMax"/>
          <c:max val="0.4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986784"/>
        <c:crosses val="max"/>
        <c:crossBetween val="midCat"/>
        <c:majorUnit val="0.1"/>
      </c:valAx>
      <c:valAx>
        <c:axId val="178798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87987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TSR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'OpCurve DTU'!$A$4:$A$25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'OpCurve DTU'!$E$4:$E$25</c:f>
              <c:numCache>
                <c:formatCode>0.000</c:formatCode>
                <c:ptCount val="22"/>
                <c:pt idx="0">
                  <c:v>19.587830195132362</c:v>
                </c:pt>
                <c:pt idx="1">
                  <c:v>15.67026415610589</c:v>
                </c:pt>
                <c:pt idx="2">
                  <c:v>13.058553463421575</c:v>
                </c:pt>
                <c:pt idx="3">
                  <c:v>11.193045825789921</c:v>
                </c:pt>
                <c:pt idx="4">
                  <c:v>10.48928306949338</c:v>
                </c:pt>
                <c:pt idx="5">
                  <c:v>10.488920331897173</c:v>
                </c:pt>
                <c:pt idx="6">
                  <c:v>10.488630141820208</c:v>
                </c:pt>
                <c:pt idx="7">
                  <c:v>10.489579854799366</c:v>
                </c:pt>
                <c:pt idx="8">
                  <c:v>10.446842770737261</c:v>
                </c:pt>
                <c:pt idx="9">
                  <c:v>9.6432394806805473</c:v>
                </c:pt>
                <c:pt idx="10">
                  <c:v>8.9544366606319379</c:v>
                </c:pt>
                <c:pt idx="11">
                  <c:v>8.357474216589809</c:v>
                </c:pt>
                <c:pt idx="12">
                  <c:v>7.8351320780529452</c:v>
                </c:pt>
                <c:pt idx="13">
                  <c:v>7.3742419558145365</c:v>
                </c:pt>
                <c:pt idx="14">
                  <c:v>6.9645618471581736</c:v>
                </c:pt>
                <c:pt idx="15">
                  <c:v>6.5980059604656383</c:v>
                </c:pt>
                <c:pt idx="16">
                  <c:v>6.2681056624423563</c:v>
                </c:pt>
                <c:pt idx="17">
                  <c:v>5.9696244404212919</c:v>
                </c:pt>
                <c:pt idx="18">
                  <c:v>5.6982778749475962</c:v>
                </c:pt>
                <c:pt idx="19">
                  <c:v>5.4505266629933535</c:v>
                </c:pt>
                <c:pt idx="20">
                  <c:v>5.2234213853686304</c:v>
                </c:pt>
                <c:pt idx="21">
                  <c:v>5.0144845299538847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F1-45D3-8061-18442EDD2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Pitch Angle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'OpCurve DTU'!$A$4:$A$25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'OpCurve DTU'!$B$4:$B$25</c:f>
              <c:numCache>
                <c:formatCode>0.000</c:formatCode>
                <c:ptCount val="22"/>
                <c:pt idx="0">
                  <c:v>2.7509999999999999</c:v>
                </c:pt>
                <c:pt idx="1">
                  <c:v>1.966</c:v>
                </c:pt>
                <c:pt idx="2">
                  <c:v>0.89600000000000002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4.5019999999999998</c:v>
                </c:pt>
                <c:pt idx="9">
                  <c:v>7.266</c:v>
                </c:pt>
                <c:pt idx="10">
                  <c:v>9.2919999999999998</c:v>
                </c:pt>
                <c:pt idx="11">
                  <c:v>10.958</c:v>
                </c:pt>
                <c:pt idx="12">
                  <c:v>12.499000000000001</c:v>
                </c:pt>
                <c:pt idx="13">
                  <c:v>13.896000000000001</c:v>
                </c:pt>
                <c:pt idx="14">
                  <c:v>15.2</c:v>
                </c:pt>
                <c:pt idx="15">
                  <c:v>16.431999999999999</c:v>
                </c:pt>
                <c:pt idx="16">
                  <c:v>17.617999999999999</c:v>
                </c:pt>
                <c:pt idx="17">
                  <c:v>18.757999999999999</c:v>
                </c:pt>
                <c:pt idx="18">
                  <c:v>19.86</c:v>
                </c:pt>
                <c:pt idx="19">
                  <c:v>20.927</c:v>
                </c:pt>
                <c:pt idx="20">
                  <c:v>21.963000000000001</c:v>
                </c:pt>
                <c:pt idx="21">
                  <c:v>22.975000000000001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F1-45D3-8061-18442EDD2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480416"/>
        <c:axId val="1541490016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TSR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8944"/>
        <c:crosses val="autoZero"/>
        <c:crossBetween val="midCat"/>
        <c:majorUnit val="3"/>
      </c:valAx>
      <c:valAx>
        <c:axId val="154149001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Pitch Angle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480416"/>
        <c:crosses val="max"/>
        <c:crossBetween val="midCat"/>
      </c:valAx>
      <c:valAx>
        <c:axId val="154148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41490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Operation Power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OpCurve!$G$4:$G$25</c:f>
              <c:numCache>
                <c:formatCode>0.000</c:formatCode>
                <c:ptCount val="22"/>
                <c:pt idx="0">
                  <c:v>0.928775146208622</c:v>
                </c:pt>
                <c:pt idx="1">
                  <c:v>1.8140139574387149</c:v>
                </c:pt>
                <c:pt idx="2">
                  <c:v>3.1346161184540993</c:v>
                </c:pt>
                <c:pt idx="3">
                  <c:v>4.9776542992118333</c:v>
                </c:pt>
                <c:pt idx="4">
                  <c:v>7.430201169668976</c:v>
                </c:pt>
                <c:pt idx="5">
                  <c:v>10.579329399782587</c:v>
                </c:pt>
                <c:pt idx="6">
                  <c:v>14.512111659509719</c:v>
                </c:pt>
                <c:pt idx="7">
                  <c:v>19.315620618807436</c:v>
                </c:pt>
                <c:pt idx="8">
                  <c:v>25.076928947632794</c:v>
                </c:pt>
                <c:pt idx="9">
                  <c:v>25.076928947632794</c:v>
                </c:pt>
                <c:pt idx="10">
                  <c:v>25.076928947632794</c:v>
                </c:pt>
                <c:pt idx="11">
                  <c:v>25.076928947632794</c:v>
                </c:pt>
                <c:pt idx="12">
                  <c:v>25.076928947632794</c:v>
                </c:pt>
                <c:pt idx="13">
                  <c:v>25.076928947632794</c:v>
                </c:pt>
                <c:pt idx="14">
                  <c:v>25.076928947632794</c:v>
                </c:pt>
                <c:pt idx="15">
                  <c:v>25.076928947632794</c:v>
                </c:pt>
                <c:pt idx="16">
                  <c:v>25.076928947632794</c:v>
                </c:pt>
                <c:pt idx="17">
                  <c:v>25.076928947632794</c:v>
                </c:pt>
                <c:pt idx="18">
                  <c:v>25.076928947632794</c:v>
                </c:pt>
                <c:pt idx="19">
                  <c:v>25.076928947632794</c:v>
                </c:pt>
                <c:pt idx="20">
                  <c:v>25.076928947632794</c:v>
                </c:pt>
                <c:pt idx="21">
                  <c:v>25.076928947632794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1B-4362-B48A-33A62ECC5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Cp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OpCurve!$F$4:$F$25</c:f>
              <c:numCache>
                <c:formatCode>0.000</c:formatCode>
                <c:ptCount val="22"/>
                <c:pt idx="0">
                  <c:v>0.48499999999999999</c:v>
                </c:pt>
                <c:pt idx="1">
                  <c:v>0.48499999999999999</c:v>
                </c:pt>
                <c:pt idx="2">
                  <c:v>0.48499999999999999</c:v>
                </c:pt>
                <c:pt idx="3">
                  <c:v>0.48499999999999999</c:v>
                </c:pt>
                <c:pt idx="4">
                  <c:v>0.48499999999999999</c:v>
                </c:pt>
                <c:pt idx="5">
                  <c:v>0.48499999999999999</c:v>
                </c:pt>
                <c:pt idx="6">
                  <c:v>0.48499999999999999</c:v>
                </c:pt>
                <c:pt idx="7">
                  <c:v>0.48499999999999999</c:v>
                </c:pt>
                <c:pt idx="8">
                  <c:v>0.48499999999999999</c:v>
                </c:pt>
                <c:pt idx="9">
                  <c:v>0.38146563495675923</c:v>
                </c:pt>
                <c:pt idx="10">
                  <c:v>0.3054227405247813</c:v>
                </c:pt>
                <c:pt idx="11">
                  <c:v>0.24832000000000001</c:v>
                </c:pt>
                <c:pt idx="12">
                  <c:v>0.20460937500000001</c:v>
                </c:pt>
                <c:pt idx="13">
                  <c:v>0.17058416446163238</c:v>
                </c:pt>
                <c:pt idx="14">
                  <c:v>0.14370370370370369</c:v>
                </c:pt>
                <c:pt idx="15">
                  <c:v>0.12218690771249452</c:v>
                </c:pt>
                <c:pt idx="16">
                  <c:v>0.10475999999999999</c:v>
                </c:pt>
                <c:pt idx="17">
                  <c:v>9.0495626822157449E-2</c:v>
                </c:pt>
                <c:pt idx="18">
                  <c:v>7.8707738542449293E-2</c:v>
                </c:pt>
                <c:pt idx="19">
                  <c:v>6.8881400509575086E-2</c:v>
                </c:pt>
                <c:pt idx="20">
                  <c:v>6.0625000000000005E-2</c:v>
                </c:pt>
                <c:pt idx="21">
                  <c:v>5.3637120000000003E-2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1B-4362-B48A-33A62ECC5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986784"/>
        <c:axId val="1787987744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2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8944"/>
        <c:crosses val="autoZero"/>
        <c:crossBetween val="midCat"/>
        <c:majorUnit val="3"/>
      </c:valAx>
      <c:valAx>
        <c:axId val="1787987744"/>
        <c:scaling>
          <c:orientation val="minMax"/>
          <c:max val="0.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986784"/>
        <c:crosses val="max"/>
        <c:crossBetween val="midCat"/>
        <c:majorUnit val="0.1"/>
      </c:valAx>
      <c:valAx>
        <c:axId val="178798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87987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TSR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OpCurve!$C$4:$C$25</c:f>
              <c:numCache>
                <c:formatCode>0.000</c:formatCode>
                <c:ptCount val="22"/>
                <c:pt idx="0">
                  <c:v>9.14</c:v>
                </c:pt>
                <c:pt idx="1">
                  <c:v>9.14</c:v>
                </c:pt>
                <c:pt idx="2">
                  <c:v>9.14</c:v>
                </c:pt>
                <c:pt idx="3">
                  <c:v>9.14</c:v>
                </c:pt>
                <c:pt idx="4">
                  <c:v>9.14</c:v>
                </c:pt>
                <c:pt idx="5">
                  <c:v>9.14</c:v>
                </c:pt>
                <c:pt idx="6">
                  <c:v>9.14</c:v>
                </c:pt>
                <c:pt idx="7">
                  <c:v>9.14</c:v>
                </c:pt>
                <c:pt idx="8">
                  <c:v>9.6</c:v>
                </c:pt>
                <c:pt idx="9">
                  <c:v>9.6</c:v>
                </c:pt>
                <c:pt idx="10">
                  <c:v>9.6</c:v>
                </c:pt>
                <c:pt idx="11">
                  <c:v>9.6</c:v>
                </c:pt>
                <c:pt idx="12">
                  <c:v>9.6</c:v>
                </c:pt>
                <c:pt idx="13">
                  <c:v>9.6</c:v>
                </c:pt>
                <c:pt idx="14">
                  <c:v>9.6</c:v>
                </c:pt>
                <c:pt idx="15">
                  <c:v>9.6</c:v>
                </c:pt>
                <c:pt idx="16">
                  <c:v>9.6</c:v>
                </c:pt>
                <c:pt idx="17">
                  <c:v>9.6</c:v>
                </c:pt>
                <c:pt idx="18">
                  <c:v>9.6</c:v>
                </c:pt>
                <c:pt idx="19">
                  <c:v>9.6</c:v>
                </c:pt>
                <c:pt idx="20">
                  <c:v>9.6</c:v>
                </c:pt>
                <c:pt idx="21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5D-42BD-87B2-BB75495C8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Pitch Angle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OpCurve!$B$4:$B$25</c:f>
              <c:numCache>
                <c:formatCode>0.000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4.5019999999999998</c:v>
                </c:pt>
                <c:pt idx="9">
                  <c:v>7.266</c:v>
                </c:pt>
                <c:pt idx="10">
                  <c:v>9.2919999999999998</c:v>
                </c:pt>
                <c:pt idx="11">
                  <c:v>10.958</c:v>
                </c:pt>
                <c:pt idx="12">
                  <c:v>12.499000000000001</c:v>
                </c:pt>
                <c:pt idx="13">
                  <c:v>13.896000000000001</c:v>
                </c:pt>
                <c:pt idx="14">
                  <c:v>15.2</c:v>
                </c:pt>
                <c:pt idx="15">
                  <c:v>16.431999999999999</c:v>
                </c:pt>
                <c:pt idx="16">
                  <c:v>17.617999999999999</c:v>
                </c:pt>
                <c:pt idx="17">
                  <c:v>18.757999999999999</c:v>
                </c:pt>
                <c:pt idx="18">
                  <c:v>19.86</c:v>
                </c:pt>
                <c:pt idx="19">
                  <c:v>20.927</c:v>
                </c:pt>
                <c:pt idx="20">
                  <c:v>21.963000000000001</c:v>
                </c:pt>
                <c:pt idx="21">
                  <c:v>22.975000000000001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3-4EA3-9F19-330CDBD1B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480416"/>
        <c:axId val="1541490016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TSR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8944"/>
        <c:crosses val="autoZero"/>
        <c:crossBetween val="midCat"/>
        <c:majorUnit val="3"/>
      </c:valAx>
      <c:valAx>
        <c:axId val="154149001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Pitch Angle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480416"/>
        <c:crosses val="max"/>
        <c:crossBetween val="midCat"/>
      </c:valAx>
      <c:valAx>
        <c:axId val="154148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41490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Wind Speed Probability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WindDist!$A$3:$A$27</c:f>
              <c:numCache>
                <c:formatCode>0.0</c:formatCode>
                <c:ptCount val="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</c:numCache>
            </c:numRef>
          </c:xVal>
          <c:yVal>
            <c:numRef>
              <c:f>WindDist!$B$3:$B$27</c:f>
              <c:numCache>
                <c:formatCode>0.000</c:formatCode>
                <c:ptCount val="25"/>
                <c:pt idx="0">
                  <c:v>1.5982955844195752E-5</c:v>
                </c:pt>
                <c:pt idx="1">
                  <c:v>6.499665984162138E-4</c:v>
                </c:pt>
                <c:pt idx="2">
                  <c:v>3.63395539915078E-3</c:v>
                </c:pt>
                <c:pt idx="3">
                  <c:v>1.1226279419170742E-2</c:v>
                </c:pt>
                <c:pt idx="4">
                  <c:v>2.5733574518780462E-2</c:v>
                </c:pt>
                <c:pt idx="5">
                  <c:v>4.8736482969393979E-2</c:v>
                </c:pt>
                <c:pt idx="6">
                  <c:v>7.9796041646793853E-2</c:v>
                </c:pt>
                <c:pt idx="7">
                  <c:v>0.11489131985374894</c:v>
                </c:pt>
                <c:pt idx="8">
                  <c:v>0.14562859531396546</c:v>
                </c:pt>
                <c:pt idx="9">
                  <c:v>0.16095621971525606</c:v>
                </c:pt>
                <c:pt idx="10">
                  <c:v>0.15240485420742428</c:v>
                </c:pt>
                <c:pt idx="11">
                  <c:v>0.12064192964196077</c:v>
                </c:pt>
                <c:pt idx="12">
                  <c:v>7.743547787565018E-2</c:v>
                </c:pt>
                <c:pt idx="13">
                  <c:v>3.8866679375888016E-2</c:v>
                </c:pt>
                <c:pt idx="14">
                  <c:v>1.4630843770411817E-2</c:v>
                </c:pt>
                <c:pt idx="15">
                  <c:v>3.9402061196213154E-3</c:v>
                </c:pt>
                <c:pt idx="16">
                  <c:v>7.2025256975461003E-4</c:v>
                </c:pt>
                <c:pt idx="17">
                  <c:v>8.4328581225777587E-5</c:v>
                </c:pt>
                <c:pt idx="18">
                  <c:v>5.9351033600187783E-6</c:v>
                </c:pt>
                <c:pt idx="19">
                  <c:v>2.3436443464375818E-7</c:v>
                </c:pt>
                <c:pt idx="20">
                  <c:v>4.8193589044753146E-9</c:v>
                </c:pt>
                <c:pt idx="21">
                  <c:v>4.7631129892266634E-11</c:v>
                </c:pt>
                <c:pt idx="22">
                  <c:v>2.0762432343299562E-13</c:v>
                </c:pt>
                <c:pt idx="23">
                  <c:v>3.6417470331241043E-16</c:v>
                </c:pt>
                <c:pt idx="24">
                  <c:v>2.3312305027738533E-19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2A-40CD-B322-A4D68DC5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323568"/>
        <c:axId val="1839081840"/>
      </c:scatterChart>
      <c:scatterChart>
        <c:scatterStyle val="smoothMarker"/>
        <c:varyColors val="0"/>
        <c:ser>
          <c:idx val="1"/>
          <c:order val="1"/>
          <c:tx>
            <c:v>Power at speed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WindDist!$A$3:$A$27</c:f>
              <c:numCache>
                <c:formatCode>0.0</c:formatCode>
                <c:ptCount val="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</c:numCache>
            </c:numRef>
          </c:xVal>
          <c:yVal>
            <c:numRef>
              <c:f>WindDist!$C$3:$C$27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1.3713945518236685</c:v>
                </c:pt>
                <c:pt idx="5">
                  <c:v>2.4743150379464067</c:v>
                </c:pt>
                <c:pt idx="6">
                  <c:v>4.0561352088329663</c:v>
                </c:pt>
                <c:pt idx="7">
                  <c:v>6.2039277344404056</c:v>
                </c:pt>
                <c:pt idx="8">
                  <c:v>9.0047652847257815</c:v>
                </c:pt>
                <c:pt idx="9">
                  <c:v>12.545720529646154</c:v>
                </c:pt>
                <c:pt idx="10">
                  <c:v>16.913866139158579</c:v>
                </c:pt>
                <c:pt idx="11">
                  <c:v>22.196274783220119</c:v>
                </c:pt>
                <c:pt idx="12">
                  <c:v>25.076928947632794</c:v>
                </c:pt>
                <c:pt idx="13">
                  <c:v>25.076928947632794</c:v>
                </c:pt>
                <c:pt idx="14">
                  <c:v>25.076928947632794</c:v>
                </c:pt>
                <c:pt idx="15">
                  <c:v>25.076928947632794</c:v>
                </c:pt>
                <c:pt idx="16">
                  <c:v>25.076928947632794</c:v>
                </c:pt>
                <c:pt idx="17">
                  <c:v>25.076928947632794</c:v>
                </c:pt>
                <c:pt idx="18">
                  <c:v>25.076928947632794</c:v>
                </c:pt>
                <c:pt idx="19">
                  <c:v>25.076928947632794</c:v>
                </c:pt>
                <c:pt idx="20">
                  <c:v>25.076928947632794</c:v>
                </c:pt>
                <c:pt idx="21">
                  <c:v>25.076928947632794</c:v>
                </c:pt>
                <c:pt idx="22">
                  <c:v>25.076928947632794</c:v>
                </c:pt>
                <c:pt idx="23">
                  <c:v>25.076928947632794</c:v>
                </c:pt>
                <c:pt idx="24">
                  <c:v>25.076928947632794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2A-40CD-B322-A4D68DC5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400048"/>
        <c:axId val="913397168"/>
      </c:scatterChart>
      <c:valAx>
        <c:axId val="179132356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81840"/>
        <c:crosses val="autoZero"/>
        <c:crossBetween val="midCat"/>
      </c:valAx>
      <c:valAx>
        <c:axId val="1839081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Probability function f(u)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323568"/>
        <c:crosses val="autoZero"/>
        <c:crossBetween val="midCat"/>
      </c:valAx>
      <c:valAx>
        <c:axId val="91339716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latin typeface="+mn-lt"/>
                    <a:cs typeface="Arial" panose="020B0604020202020204" pitchFamily="34" charset="0"/>
                  </a:rPr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400048"/>
        <c:crosses val="max"/>
        <c:crossBetween val="midCat"/>
      </c:valAx>
      <c:valAx>
        <c:axId val="91340004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913397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 vs U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WindDist!$A$3:$A$27</c:f>
              <c:numCache>
                <c:formatCode>0.0</c:formatCode>
                <c:ptCount val="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</c:numCache>
            </c:numRef>
          </c:xVal>
          <c:yVal>
            <c:numRef>
              <c:f>WindDist!$D$3:$D$27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3.5290883894003908E-2</c:v>
                </c:pt>
                <c:pt idx="5">
                  <c:v>0.12058941270779047</c:v>
                </c:pt>
                <c:pt idx="6">
                  <c:v>0.32366353404906228</c:v>
                </c:pt>
                <c:pt idx="7">
                  <c:v>0.71277744568713663</c:v>
                </c:pt>
                <c:pt idx="8">
                  <c:v>1.3113513195465758</c:v>
                </c:pt>
                <c:pt idx="9">
                  <c:v>2.019311750055925</c:v>
                </c:pt>
                <c:pt idx="10">
                  <c:v>2.5777553030223532</c:v>
                </c:pt>
                <c:pt idx="11">
                  <c:v>2.6778014207108698</c:v>
                </c:pt>
                <c:pt idx="12">
                  <c:v>1.9418439767136708</c:v>
                </c:pt>
                <c:pt idx="13">
                  <c:v>0.97465695713956868</c:v>
                </c:pt>
                <c:pt idx="14">
                  <c:v>0.36689662967453301</c:v>
                </c:pt>
                <c:pt idx="15">
                  <c:v>9.8808268900771642E-2</c:v>
                </c:pt>
                <c:pt idx="16">
                  <c:v>1.8061722516086287E-2</c:v>
                </c:pt>
                <c:pt idx="17">
                  <c:v>2.1147018396535052E-3</c:v>
                </c:pt>
                <c:pt idx="18">
                  <c:v>1.4883416525604757E-4</c:v>
                </c:pt>
                <c:pt idx="19">
                  <c:v>5.8771402754136533E-6</c:v>
                </c:pt>
                <c:pt idx="20">
                  <c:v>1.2085472082066888E-7</c:v>
                </c:pt>
                <c:pt idx="21">
                  <c:v>1.1944424600038388E-9</c:v>
                </c:pt>
                <c:pt idx="22">
                  <c:v>5.2065804065295619E-12</c:v>
                </c:pt>
                <c:pt idx="23">
                  <c:v>9.1323831594905691E-15</c:v>
                </c:pt>
                <c:pt idx="24">
                  <c:v>5.8460101678614193E-18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B7-4B51-943B-BC9EFBA70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323568"/>
        <c:axId val="1839081840"/>
      </c:scatterChart>
      <c:scatterChart>
        <c:scatterStyle val="smoothMarker"/>
        <c:varyColors val="0"/>
        <c:ser>
          <c:idx val="1"/>
          <c:order val="1"/>
          <c:tx>
            <c:v>Power at speed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WindDist!$A$3:$A$27</c:f>
              <c:numCache>
                <c:formatCode>0.0</c:formatCode>
                <c:ptCount val="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</c:numCache>
            </c:numRef>
          </c:xVal>
          <c:yVal>
            <c:numRef>
              <c:f>WindDist!$C$3:$C$27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1.3713945518236685</c:v>
                </c:pt>
                <c:pt idx="5">
                  <c:v>2.4743150379464067</c:v>
                </c:pt>
                <c:pt idx="6">
                  <c:v>4.0561352088329663</c:v>
                </c:pt>
                <c:pt idx="7">
                  <c:v>6.2039277344404056</c:v>
                </c:pt>
                <c:pt idx="8">
                  <c:v>9.0047652847257815</c:v>
                </c:pt>
                <c:pt idx="9">
                  <c:v>12.545720529646154</c:v>
                </c:pt>
                <c:pt idx="10">
                  <c:v>16.913866139158579</c:v>
                </c:pt>
                <c:pt idx="11">
                  <c:v>22.196274783220119</c:v>
                </c:pt>
                <c:pt idx="12">
                  <c:v>25.076928947632794</c:v>
                </c:pt>
                <c:pt idx="13">
                  <c:v>25.076928947632794</c:v>
                </c:pt>
                <c:pt idx="14">
                  <c:v>25.076928947632794</c:v>
                </c:pt>
                <c:pt idx="15">
                  <c:v>25.076928947632794</c:v>
                </c:pt>
                <c:pt idx="16">
                  <c:v>25.076928947632794</c:v>
                </c:pt>
                <c:pt idx="17">
                  <c:v>25.076928947632794</c:v>
                </c:pt>
                <c:pt idx="18">
                  <c:v>25.076928947632794</c:v>
                </c:pt>
                <c:pt idx="19">
                  <c:v>25.076928947632794</c:v>
                </c:pt>
                <c:pt idx="20">
                  <c:v>25.076928947632794</c:v>
                </c:pt>
                <c:pt idx="21">
                  <c:v>25.076928947632794</c:v>
                </c:pt>
                <c:pt idx="22">
                  <c:v>25.076928947632794</c:v>
                </c:pt>
                <c:pt idx="23">
                  <c:v>25.076928947632794</c:v>
                </c:pt>
                <c:pt idx="24">
                  <c:v>25.076928947632794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B7-4B51-943B-BC9EFBA70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400048"/>
        <c:axId val="913397168"/>
      </c:scatterChart>
      <c:valAx>
        <c:axId val="179132356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81840"/>
        <c:crosses val="autoZero"/>
        <c:crossBetween val="midCat"/>
      </c:valAx>
      <c:valAx>
        <c:axId val="1839081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</a:t>
                </a:r>
                <a:r>
                  <a:rPr lang="en-GB" baseline="0"/>
                  <a:t> probability F (MW)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323568"/>
        <c:crosses val="autoZero"/>
        <c:crossBetween val="midCat"/>
      </c:valAx>
      <c:valAx>
        <c:axId val="91339716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latin typeface="+mn-lt"/>
                    <a:cs typeface="Arial" panose="020B0604020202020204" pitchFamily="34" charset="0"/>
                  </a:rPr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400048"/>
        <c:crosses val="max"/>
        <c:crossBetween val="midCat"/>
      </c:valAx>
      <c:valAx>
        <c:axId val="91340004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913397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752741</xdr:colOff>
      <xdr:row>7</xdr:row>
      <xdr:rowOff>20095</xdr:rowOff>
    </xdr:from>
    <xdr:to>
      <xdr:col>11</xdr:col>
      <xdr:colOff>270913</xdr:colOff>
      <xdr:row>25</xdr:row>
      <xdr:rowOff>67907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0F64E2-5873-32D2-A80D-AD0370D41B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681873</xdr:colOff>
      <xdr:row>26</xdr:row>
      <xdr:rowOff>74595</xdr:rowOff>
    </xdr:from>
    <xdr:to>
      <xdr:col>11</xdr:col>
      <xdr:colOff>416672</xdr:colOff>
      <xdr:row>43</xdr:row>
      <xdr:rowOff>136508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1FE43C-3CFB-4998-9AEC-76E5D3206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485774</xdr:colOff>
      <xdr:row>2</xdr:row>
      <xdr:rowOff>4761</xdr:rowOff>
    </xdr:from>
    <xdr:to>
      <xdr:col>16</xdr:col>
      <xdr:colOff>190499</xdr:colOff>
      <xdr:row>25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312B8E-D2D7-461F-AF47-0B4994AED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485774</xdr:colOff>
      <xdr:row>2</xdr:row>
      <xdr:rowOff>4761</xdr:rowOff>
    </xdr:from>
    <xdr:to>
      <xdr:col>16</xdr:col>
      <xdr:colOff>190499</xdr:colOff>
      <xdr:row>25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34915A-5E27-BD8D-1F70-5B08022126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2</xdr:row>
          <xdr:rowOff>76200</xdr:rowOff>
        </xdr:from>
        <xdr:to>
          <xdr:col>5</xdr:col>
          <xdr:colOff>723900</xdr:colOff>
          <xdr:row>4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5</xdr:row>
          <xdr:rowOff>76200</xdr:rowOff>
        </xdr:from>
        <xdr:to>
          <xdr:col>5</xdr:col>
          <xdr:colOff>723900</xdr:colOff>
          <xdr:row>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74284</xdr:colOff>
      <xdr:row>0</xdr:row>
      <xdr:rowOff>90371</xdr:rowOff>
    </xdr:from>
    <xdr:to>
      <xdr:col>20</xdr:col>
      <xdr:colOff>750559</xdr:colOff>
      <xdr:row>9</xdr:row>
      <xdr:rowOff>171334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2C6F3B-630F-0635-A720-D5E3961BE0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144791</xdr:colOff>
      <xdr:row>0</xdr:row>
      <xdr:rowOff>112327</xdr:rowOff>
    </xdr:from>
    <xdr:to>
      <xdr:col>14</xdr:col>
      <xdr:colOff>821066</xdr:colOff>
      <xdr:row>9</xdr:row>
      <xdr:rowOff>193290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ED3E6D-5CDF-40F0-9EB6-E29655CB9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1</xdr:row>
      <xdr:rowOff>47625</xdr:rowOff>
    </xdr:from>
    <xdr:to>
      <xdr:col>14</xdr:col>
      <xdr:colOff>819150</xdr:colOff>
      <xdr:row>12</xdr:row>
      <xdr:rowOff>147638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619DF5-2212-42C6-A212-CFEAC1F825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152401</xdr:colOff>
      <xdr:row>13</xdr:row>
      <xdr:rowOff>14289</xdr:rowOff>
    </xdr:from>
    <xdr:to>
      <xdr:col>14</xdr:col>
      <xdr:colOff>828676</xdr:colOff>
      <xdr:row>24</xdr:row>
      <xdr:rowOff>114302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F766D10-737B-4B49-B504-4F8796ECAC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133349</xdr:colOff>
      <xdr:row>1</xdr:row>
      <xdr:rowOff>100011</xdr:rowOff>
    </xdr:from>
    <xdr:to>
      <xdr:col>14</xdr:col>
      <xdr:colOff>809624</xdr:colOff>
      <xdr:row>12</xdr:row>
      <xdr:rowOff>200024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64FA17-50D1-5B85-D5FF-09EC7B41C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142875</xdr:colOff>
      <xdr:row>13</xdr:row>
      <xdr:rowOff>66675</xdr:rowOff>
    </xdr:from>
    <xdr:to>
      <xdr:col>14</xdr:col>
      <xdr:colOff>819150</xdr:colOff>
      <xdr:row>24</xdr:row>
      <xdr:rowOff>166688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2D4C16-C521-4DB4-8242-AC223C035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123824</xdr:colOff>
      <xdr:row>1</xdr:row>
      <xdr:rowOff>42861</xdr:rowOff>
    </xdr:from>
    <xdr:to>
      <xdr:col>14</xdr:col>
      <xdr:colOff>685799</xdr:colOff>
      <xdr:row>12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490BE1-9BD1-1563-76CD-C8C0A4B4C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561975</xdr:colOff>
      <xdr:row>24</xdr:row>
      <xdr:rowOff>138113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CB63FA19-F0C1-49DD-9C58-1858FC7FD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4"/>
  <sheetViews>
    <sheetView zoomScale="89" workbookViewId="0">
      <selection activeCell="D12" sqref="D12"/>
    </sheetView>
  </sheetViews>
  <sheetFormatPr baseColWidth="10" defaultColWidth="15.6640625" defaultRowHeight="15" x14ac:dyDescent="0.2"/>
  <cols>
    <col min="9" max="9" width="18.83203125" customWidth="1"/>
  </cols>
  <sheetData>
    <row r="1" spans="1:14" ht="18" x14ac:dyDescent="0.2">
      <c r="A1" s="89" t="s">
        <v>87</v>
      </c>
      <c r="B1" s="89"/>
      <c r="C1" s="89"/>
      <c r="D1" s="89"/>
      <c r="E1" s="89"/>
      <c r="F1" s="89"/>
      <c r="G1" s="7"/>
      <c r="H1" s="7"/>
      <c r="I1" s="7"/>
      <c r="J1" s="7"/>
      <c r="K1" s="7"/>
      <c r="L1" s="7"/>
      <c r="M1" s="7"/>
      <c r="N1" s="7"/>
    </row>
    <row r="2" spans="1:14" s="3" customFormat="1" x14ac:dyDescent="0.2">
      <c r="A2" s="3" t="s">
        <v>4</v>
      </c>
      <c r="B2" s="3">
        <v>2.8</v>
      </c>
      <c r="C2" s="3" t="s">
        <v>5</v>
      </c>
      <c r="D2" s="3">
        <v>124.7</v>
      </c>
      <c r="E2" s="3" t="s">
        <v>88</v>
      </c>
      <c r="F2" s="3">
        <v>10</v>
      </c>
      <c r="G2" s="3" t="s">
        <v>89</v>
      </c>
      <c r="H2" s="3">
        <v>10</v>
      </c>
      <c r="I2" s="3" t="s">
        <v>90</v>
      </c>
      <c r="J2" s="124">
        <v>0.31</v>
      </c>
    </row>
    <row r="3" spans="1:14" s="1" customFormat="1" x14ac:dyDescent="0.2">
      <c r="A3" s="1" t="s">
        <v>1</v>
      </c>
      <c r="B3" s="1" t="s">
        <v>14</v>
      </c>
      <c r="C3" s="1" t="s">
        <v>0</v>
      </c>
      <c r="D3" s="1" t="s">
        <v>15</v>
      </c>
      <c r="E3" s="1" t="s">
        <v>16</v>
      </c>
      <c r="G3" s="1" t="s">
        <v>7</v>
      </c>
      <c r="H3" s="1">
        <v>1.6</v>
      </c>
      <c r="I3" s="1" t="s">
        <v>91</v>
      </c>
    </row>
    <row r="4" spans="1:14" x14ac:dyDescent="0.2">
      <c r="A4" s="3" t="s">
        <v>2</v>
      </c>
      <c r="B4" s="56">
        <v>2.8</v>
      </c>
      <c r="C4" s="56">
        <f>B4/$D$2</f>
        <v>2.2453889334402566E-2</v>
      </c>
      <c r="D4" s="56">
        <f>MIN(DEGREES(ATAN((1-$J$2)/($F$2*C4*(1+$J$2*(1-$J$2)/($F$2^2*C4^2)))))-$H$2,25)</f>
        <v>20.377023715335078</v>
      </c>
      <c r="E4" s="56">
        <f>MIN(16*PI()*$D$2^2/(9*3*$H$3*$F$2^2*B4),7)</f>
        <v>7</v>
      </c>
    </row>
    <row r="5" spans="1:14" x14ac:dyDescent="0.2">
      <c r="A5">
        <v>2</v>
      </c>
      <c r="B5" s="56">
        <f>C5*$D$2</f>
        <v>6.2350000000000003</v>
      </c>
      <c r="C5" s="56">
        <f>A5/40</f>
        <v>0.05</v>
      </c>
      <c r="D5" s="56">
        <f t="shared" ref="D5:D44" si="0">MIN(DEGREES(ATAN((1-$J$2)/($F$2*C5*(1+$J$2*(1-$J$2)/($F$2^2*C5^2)))))-$H$2,25)</f>
        <v>25</v>
      </c>
      <c r="E5" s="56">
        <f t="shared" ref="E5:E43" si="1">MIN(16*PI()*$D$2^2/(9*3*$H$3*$F$2^2*B5),7)</f>
        <v>7</v>
      </c>
    </row>
    <row r="6" spans="1:14" x14ac:dyDescent="0.2">
      <c r="A6">
        <v>3</v>
      </c>
      <c r="B6" s="56">
        <f t="shared" ref="B6:B44" si="2">C6*$D$2</f>
        <v>9.3524999999999991</v>
      </c>
      <c r="C6" s="56">
        <f t="shared" ref="C6:C42" si="3">A6/40</f>
        <v>7.4999999999999997E-2</v>
      </c>
      <c r="D6" s="56">
        <f t="shared" si="0"/>
        <v>23.684958218028903</v>
      </c>
      <c r="E6" s="56">
        <f>MIN(16*PI()*$D$2^2/(9*3*$H$3*$F$2^2*B6),7)</f>
        <v>7</v>
      </c>
    </row>
    <row r="7" spans="1:14" x14ac:dyDescent="0.2">
      <c r="A7">
        <v>4</v>
      </c>
      <c r="B7" s="56">
        <f t="shared" si="2"/>
        <v>12.47</v>
      </c>
      <c r="C7" s="56">
        <f t="shared" si="3"/>
        <v>0.1</v>
      </c>
      <c r="D7" s="56">
        <f t="shared" si="0"/>
        <v>19.614586339261258</v>
      </c>
      <c r="E7" s="56">
        <f t="shared" si="1"/>
        <v>7</v>
      </c>
    </row>
    <row r="8" spans="1:14" x14ac:dyDescent="0.2">
      <c r="A8">
        <v>5</v>
      </c>
      <c r="B8" s="56">
        <f t="shared" si="2"/>
        <v>15.5875</v>
      </c>
      <c r="C8" s="56">
        <f t="shared" si="3"/>
        <v>0.125</v>
      </c>
      <c r="D8" s="56">
        <f>MIN(DEGREES(ATAN((1-$J$2)/($F$2*C8*(1+$J$2*(1-$J$2)/($F$2^2*C8^2)))))-$H$2,25)</f>
        <v>15.898081765838594</v>
      </c>
      <c r="E8" s="56">
        <f>MIN(16*PI()*$D$2^2/(9*3*$H$3*$F$2^2*B8),7)</f>
        <v>7</v>
      </c>
    </row>
    <row r="9" spans="1:14" x14ac:dyDescent="0.2">
      <c r="A9">
        <v>6</v>
      </c>
      <c r="B9" s="56">
        <f t="shared" si="2"/>
        <v>18.704999999999998</v>
      </c>
      <c r="C9" s="56">
        <f t="shared" si="3"/>
        <v>0.15</v>
      </c>
      <c r="D9" s="56">
        <f t="shared" si="0"/>
        <v>12.785607937157824</v>
      </c>
      <c r="E9" s="56">
        <f t="shared" si="1"/>
        <v>7</v>
      </c>
    </row>
    <row r="10" spans="1:14" x14ac:dyDescent="0.2">
      <c r="A10">
        <v>7</v>
      </c>
      <c r="B10" s="56">
        <f t="shared" si="2"/>
        <v>21.822499999999998</v>
      </c>
      <c r="C10" s="56">
        <f t="shared" si="3"/>
        <v>0.17499999999999999</v>
      </c>
      <c r="D10" s="56">
        <f t="shared" si="0"/>
        <v>10.231099203691972</v>
      </c>
      <c r="E10" s="56">
        <f t="shared" si="1"/>
        <v>7</v>
      </c>
    </row>
    <row r="11" spans="1:14" x14ac:dyDescent="0.2">
      <c r="A11">
        <v>8</v>
      </c>
      <c r="B11" s="56">
        <f t="shared" si="2"/>
        <v>24.94</v>
      </c>
      <c r="C11" s="56">
        <f t="shared" si="3"/>
        <v>0.2</v>
      </c>
      <c r="D11" s="56">
        <f t="shared" si="0"/>
        <v>8.1329798104340831</v>
      </c>
      <c r="E11" s="56">
        <f t="shared" si="1"/>
        <v>7</v>
      </c>
    </row>
    <row r="12" spans="1:14" x14ac:dyDescent="0.2">
      <c r="A12">
        <v>9</v>
      </c>
      <c r="B12" s="56">
        <f t="shared" si="2"/>
        <v>28.057500000000001</v>
      </c>
      <c r="C12" s="56">
        <f t="shared" si="3"/>
        <v>0.22500000000000001</v>
      </c>
      <c r="D12" s="56">
        <f t="shared" si="0"/>
        <v>6.3957130988405027</v>
      </c>
      <c r="E12" s="56">
        <f t="shared" si="1"/>
        <v>6.4486683769983069</v>
      </c>
    </row>
    <row r="13" spans="1:14" x14ac:dyDescent="0.2">
      <c r="A13">
        <v>10</v>
      </c>
      <c r="B13" s="56">
        <f t="shared" si="2"/>
        <v>31.175000000000001</v>
      </c>
      <c r="C13" s="56">
        <f t="shared" si="3"/>
        <v>0.25</v>
      </c>
      <c r="D13" s="56">
        <f t="shared" si="0"/>
        <v>4.9421196060527031</v>
      </c>
      <c r="E13" s="56">
        <f t="shared" si="1"/>
        <v>5.803801539298477</v>
      </c>
    </row>
    <row r="14" spans="1:14" x14ac:dyDescent="0.2">
      <c r="A14">
        <v>11</v>
      </c>
      <c r="B14" s="56">
        <f t="shared" si="2"/>
        <v>34.292500000000004</v>
      </c>
      <c r="C14" s="56">
        <f t="shared" si="3"/>
        <v>0.27500000000000002</v>
      </c>
      <c r="D14" s="56">
        <f t="shared" si="0"/>
        <v>3.7126429654796951</v>
      </c>
      <c r="E14" s="56">
        <f t="shared" si="1"/>
        <v>5.2761832175440695</v>
      </c>
    </row>
    <row r="15" spans="1:14" x14ac:dyDescent="0.2">
      <c r="A15">
        <v>12</v>
      </c>
      <c r="B15" s="56">
        <f t="shared" si="2"/>
        <v>37.409999999999997</v>
      </c>
      <c r="C15" s="56">
        <f t="shared" si="3"/>
        <v>0.3</v>
      </c>
      <c r="D15" s="56">
        <f t="shared" si="0"/>
        <v>2.6618711960042027</v>
      </c>
      <c r="E15" s="56">
        <f t="shared" si="1"/>
        <v>4.8365012827487313</v>
      </c>
    </row>
    <row r="16" spans="1:14" x14ac:dyDescent="0.2">
      <c r="A16">
        <v>13</v>
      </c>
      <c r="B16" s="56">
        <f t="shared" si="2"/>
        <v>40.527500000000003</v>
      </c>
      <c r="C16" s="56">
        <f t="shared" si="3"/>
        <v>0.32500000000000001</v>
      </c>
      <c r="D16" s="56">
        <f t="shared" si="0"/>
        <v>1.7551246199653594</v>
      </c>
      <c r="E16" s="56">
        <f t="shared" si="1"/>
        <v>4.4644627225372897</v>
      </c>
    </row>
    <row r="17" spans="1:5" x14ac:dyDescent="0.2">
      <c r="A17">
        <v>14</v>
      </c>
      <c r="B17" s="56">
        <f t="shared" si="2"/>
        <v>43.644999999999996</v>
      </c>
      <c r="C17" s="56">
        <f t="shared" si="3"/>
        <v>0.35</v>
      </c>
      <c r="D17" s="56">
        <f t="shared" si="0"/>
        <v>0.9657255891090184</v>
      </c>
      <c r="E17" s="56">
        <f t="shared" si="1"/>
        <v>4.1455725280703408</v>
      </c>
    </row>
    <row r="18" spans="1:5" x14ac:dyDescent="0.2">
      <c r="A18">
        <v>15</v>
      </c>
      <c r="B18" s="56">
        <f t="shared" si="2"/>
        <v>46.762500000000003</v>
      </c>
      <c r="C18" s="56">
        <f t="shared" si="3"/>
        <v>0.375</v>
      </c>
      <c r="D18" s="56">
        <f t="shared" si="0"/>
        <v>0.27295178826335231</v>
      </c>
      <c r="E18" s="56">
        <f>MIN(16*PI()*$D$2^2/(9*3*$H$3*$F$2^2*B18),7)</f>
        <v>3.8692010261989846</v>
      </c>
    </row>
    <row r="19" spans="1:5" x14ac:dyDescent="0.2">
      <c r="A19">
        <v>16</v>
      </c>
      <c r="B19" s="56">
        <f t="shared" si="2"/>
        <v>49.88</v>
      </c>
      <c r="C19" s="56">
        <f t="shared" si="3"/>
        <v>0.4</v>
      </c>
      <c r="D19" s="56">
        <f t="shared" si="0"/>
        <v>-0.33946391499271833</v>
      </c>
      <c r="E19" s="56">
        <f t="shared" si="1"/>
        <v>3.627375962061548</v>
      </c>
    </row>
    <row r="20" spans="1:5" x14ac:dyDescent="0.2">
      <c r="A20">
        <v>17</v>
      </c>
      <c r="B20" s="56">
        <f t="shared" si="2"/>
        <v>52.997500000000002</v>
      </c>
      <c r="C20" s="56">
        <f t="shared" si="3"/>
        <v>0.42499999999999999</v>
      </c>
      <c r="D20" s="56">
        <f t="shared" si="0"/>
        <v>-0.88442755167030462</v>
      </c>
      <c r="E20" s="56">
        <f t="shared" si="1"/>
        <v>3.4140009054696918</v>
      </c>
    </row>
    <row r="21" spans="1:5" x14ac:dyDescent="0.2">
      <c r="A21">
        <v>18</v>
      </c>
      <c r="B21" s="56">
        <f t="shared" si="2"/>
        <v>56.115000000000002</v>
      </c>
      <c r="C21" s="56">
        <f t="shared" si="3"/>
        <v>0.45</v>
      </c>
      <c r="D21" s="56">
        <f t="shared" si="0"/>
        <v>-1.3722844604131748</v>
      </c>
      <c r="E21" s="56">
        <f t="shared" si="1"/>
        <v>3.2243341884991534</v>
      </c>
    </row>
    <row r="22" spans="1:5" x14ac:dyDescent="0.2">
      <c r="A22">
        <v>19</v>
      </c>
      <c r="B22" s="56">
        <f t="shared" si="2"/>
        <v>59.232500000000002</v>
      </c>
      <c r="C22" s="56">
        <f t="shared" si="3"/>
        <v>0.47499999999999998</v>
      </c>
      <c r="D22" s="56">
        <f t="shared" si="0"/>
        <v>-1.8114089779843781</v>
      </c>
      <c r="E22" s="56">
        <f t="shared" si="1"/>
        <v>3.0546323891044613</v>
      </c>
    </row>
    <row r="23" spans="1:5" x14ac:dyDescent="0.2">
      <c r="A23">
        <v>20</v>
      </c>
      <c r="B23" s="56">
        <f t="shared" si="2"/>
        <v>62.35</v>
      </c>
      <c r="C23" s="56">
        <f t="shared" si="3"/>
        <v>0.5</v>
      </c>
      <c r="D23" s="56">
        <f t="shared" si="0"/>
        <v>-2.2086427650304126</v>
      </c>
      <c r="E23" s="56">
        <f t="shared" si="1"/>
        <v>2.9019007696492385</v>
      </c>
    </row>
    <row r="24" spans="1:5" x14ac:dyDescent="0.2">
      <c r="A24">
        <v>21</v>
      </c>
      <c r="B24" s="56">
        <f t="shared" si="2"/>
        <v>65.467500000000001</v>
      </c>
      <c r="C24" s="56">
        <f t="shared" si="3"/>
        <v>0.52500000000000002</v>
      </c>
      <c r="D24" s="56">
        <f t="shared" si="0"/>
        <v>-2.5696237898490937</v>
      </c>
      <c r="E24" s="56">
        <f t="shared" si="1"/>
        <v>2.7637150187135604</v>
      </c>
    </row>
    <row r="25" spans="1:5" x14ac:dyDescent="0.2">
      <c r="A25">
        <v>22</v>
      </c>
      <c r="B25" s="56">
        <f t="shared" si="2"/>
        <v>68.585000000000008</v>
      </c>
      <c r="C25" s="56">
        <f t="shared" si="3"/>
        <v>0.55000000000000004</v>
      </c>
      <c r="D25" s="56">
        <f t="shared" si="0"/>
        <v>-2.8990356996599163</v>
      </c>
      <c r="E25" s="56">
        <f t="shared" si="1"/>
        <v>2.6380916087720347</v>
      </c>
    </row>
    <row r="26" spans="1:5" x14ac:dyDescent="0.2">
      <c r="A26">
        <v>23</v>
      </c>
      <c r="B26" s="56">
        <f t="shared" si="2"/>
        <v>71.702500000000001</v>
      </c>
      <c r="C26" s="56">
        <f t="shared" si="3"/>
        <v>0.57499999999999996</v>
      </c>
      <c r="D26" s="56">
        <f t="shared" si="0"/>
        <v>-3.200798701583822</v>
      </c>
      <c r="E26" s="56">
        <f t="shared" si="1"/>
        <v>2.5233919736080335</v>
      </c>
    </row>
    <row r="27" spans="1:5" x14ac:dyDescent="0.2">
      <c r="A27">
        <v>24</v>
      </c>
      <c r="B27" s="56">
        <f t="shared" si="2"/>
        <v>74.819999999999993</v>
      </c>
      <c r="C27" s="56">
        <f t="shared" si="3"/>
        <v>0.6</v>
      </c>
      <c r="D27" s="56">
        <f t="shared" si="0"/>
        <v>-3.4782170641652099</v>
      </c>
      <c r="E27" s="56">
        <f t="shared" si="1"/>
        <v>2.4182506413743656</v>
      </c>
    </row>
    <row r="28" spans="1:5" x14ac:dyDescent="0.2">
      <c r="A28">
        <v>25</v>
      </c>
      <c r="B28" s="56">
        <f t="shared" si="2"/>
        <v>77.9375</v>
      </c>
      <c r="C28" s="56">
        <f t="shared" si="3"/>
        <v>0.625</v>
      </c>
      <c r="D28" s="56">
        <f t="shared" si="0"/>
        <v>-3.7340941394845979</v>
      </c>
      <c r="E28" s="56">
        <f t="shared" si="1"/>
        <v>2.3215206157193906</v>
      </c>
    </row>
    <row r="29" spans="1:5" x14ac:dyDescent="0.2">
      <c r="A29">
        <v>26</v>
      </c>
      <c r="B29" s="56">
        <f t="shared" si="2"/>
        <v>81.055000000000007</v>
      </c>
      <c r="C29" s="56">
        <f t="shared" si="3"/>
        <v>0.65</v>
      </c>
      <c r="D29" s="56">
        <f t="shared" si="0"/>
        <v>-3.9708228388790241</v>
      </c>
      <c r="E29" s="56">
        <f t="shared" si="1"/>
        <v>2.2322313612686449</v>
      </c>
    </row>
    <row r="30" spans="1:5" x14ac:dyDescent="0.2">
      <c r="A30">
        <v>27</v>
      </c>
      <c r="B30" s="56">
        <f t="shared" si="2"/>
        <v>84.172500000000014</v>
      </c>
      <c r="C30" s="56">
        <f t="shared" si="3"/>
        <v>0.67500000000000004</v>
      </c>
      <c r="D30" s="56">
        <f t="shared" si="0"/>
        <v>-4.1904573888502146</v>
      </c>
      <c r="E30" s="56">
        <f t="shared" si="1"/>
        <v>2.149556125666102</v>
      </c>
    </row>
    <row r="31" spans="1:5" x14ac:dyDescent="0.2">
      <c r="A31">
        <v>28</v>
      </c>
      <c r="B31" s="56">
        <f t="shared" si="2"/>
        <v>87.289999999999992</v>
      </c>
      <c r="C31" s="56">
        <f t="shared" si="3"/>
        <v>0.7</v>
      </c>
      <c r="D31" s="56">
        <f t="shared" si="0"/>
        <v>-4.3947706857403244</v>
      </c>
      <c r="E31" s="56">
        <f t="shared" si="1"/>
        <v>2.0727862640351704</v>
      </c>
    </row>
    <row r="32" spans="1:5" x14ac:dyDescent="0.2">
      <c r="A32">
        <v>29</v>
      </c>
      <c r="B32" s="56">
        <f t="shared" si="2"/>
        <v>90.407499999999999</v>
      </c>
      <c r="C32" s="56">
        <f t="shared" si="3"/>
        <v>0.72499999999999998</v>
      </c>
      <c r="D32" s="56">
        <f t="shared" si="0"/>
        <v>-4.5853004787257357</v>
      </c>
      <c r="E32" s="56">
        <f t="shared" si="1"/>
        <v>2.0013108756201641</v>
      </c>
    </row>
    <row r="33" spans="1:5" x14ac:dyDescent="0.2">
      <c r="A33">
        <v>30</v>
      </c>
      <c r="B33" s="56">
        <f t="shared" si="2"/>
        <v>93.525000000000006</v>
      </c>
      <c r="C33" s="56">
        <f t="shared" si="3"/>
        <v>0.75</v>
      </c>
      <c r="D33" s="56">
        <f t="shared" si="0"/>
        <v>-4.7633868172655296</v>
      </c>
      <c r="E33" s="56">
        <f t="shared" si="1"/>
        <v>1.9346005130994923</v>
      </c>
    </row>
    <row r="34" spans="1:5" x14ac:dyDescent="0.2">
      <c r="A34">
        <v>31</v>
      </c>
      <c r="B34" s="56">
        <f t="shared" si="2"/>
        <v>96.642499999999998</v>
      </c>
      <c r="C34" s="56">
        <f t="shared" si="3"/>
        <v>0.77500000000000002</v>
      </c>
      <c r="D34" s="56">
        <f t="shared" si="0"/>
        <v>-4.9302026160387769</v>
      </c>
      <c r="E34" s="56">
        <f t="shared" si="1"/>
        <v>1.8721940449349925</v>
      </c>
    </row>
    <row r="35" spans="1:5" x14ac:dyDescent="0.2">
      <c r="A35">
        <v>32</v>
      </c>
      <c r="B35" s="56">
        <f t="shared" si="2"/>
        <v>99.76</v>
      </c>
      <c r="C35" s="56">
        <f t="shared" si="3"/>
        <v>0.8</v>
      </c>
      <c r="D35" s="56">
        <f t="shared" si="0"/>
        <v>-5.0867787581976032</v>
      </c>
      <c r="E35" s="56">
        <f t="shared" si="1"/>
        <v>1.813687981030774</v>
      </c>
    </row>
    <row r="36" spans="1:5" x14ac:dyDescent="0.2">
      <c r="A36">
        <v>33</v>
      </c>
      <c r="B36" s="56">
        <f t="shared" si="2"/>
        <v>102.8775</v>
      </c>
      <c r="C36" s="56">
        <f t="shared" si="3"/>
        <v>0.82499999999999996</v>
      </c>
      <c r="D36" s="56">
        <f t="shared" si="0"/>
        <v>-5.2340248347413842</v>
      </c>
      <c r="E36" s="56">
        <f t="shared" si="1"/>
        <v>1.7587277391813567</v>
      </c>
    </row>
    <row r="37" spans="1:5" x14ac:dyDescent="0.2">
      <c r="A37">
        <v>34</v>
      </c>
      <c r="B37" s="56">
        <f t="shared" si="2"/>
        <v>105.995</v>
      </c>
      <c r="C37" s="56">
        <f t="shared" si="3"/>
        <v>0.85</v>
      </c>
      <c r="D37" s="56">
        <f t="shared" si="0"/>
        <v>-5.3727463744627775</v>
      </c>
      <c r="E37" s="56">
        <f t="shared" si="1"/>
        <v>1.7070004527348459</v>
      </c>
    </row>
    <row r="38" spans="1:5" x14ac:dyDescent="0.2">
      <c r="A38">
        <v>35</v>
      </c>
      <c r="B38" s="56">
        <f t="shared" si="2"/>
        <v>109.1125</v>
      </c>
      <c r="C38" s="56">
        <f t="shared" si="3"/>
        <v>0.875</v>
      </c>
      <c r="D38" s="56">
        <f t="shared" si="0"/>
        <v>-5.5036592341668298</v>
      </c>
      <c r="E38" s="56">
        <f t="shared" si="1"/>
        <v>1.6582290112281362</v>
      </c>
    </row>
    <row r="39" spans="1:5" x14ac:dyDescent="0.2">
      <c r="A39">
        <v>36</v>
      </c>
      <c r="B39" s="56">
        <f t="shared" si="2"/>
        <v>112.23</v>
      </c>
      <c r="C39" s="56">
        <f t="shared" si="3"/>
        <v>0.9</v>
      </c>
      <c r="D39" s="56">
        <f t="shared" si="0"/>
        <v>-5.6274016775684945</v>
      </c>
      <c r="E39" s="56">
        <f t="shared" si="1"/>
        <v>1.6121670942495767</v>
      </c>
    </row>
    <row r="40" spans="1:5" x14ac:dyDescent="0.2">
      <c r="A40">
        <v>37</v>
      </c>
      <c r="B40" s="56">
        <f t="shared" si="2"/>
        <v>115.34750000000001</v>
      </c>
      <c r="C40" s="56">
        <f t="shared" si="3"/>
        <v>0.92500000000000004</v>
      </c>
      <c r="D40" s="56">
        <f t="shared" si="0"/>
        <v>-5.7445445624451752</v>
      </c>
      <c r="E40" s="56">
        <f t="shared" si="1"/>
        <v>1.5685950106212097</v>
      </c>
    </row>
    <row r="41" spans="1:5" x14ac:dyDescent="0.2">
      <c r="A41">
        <v>38</v>
      </c>
      <c r="B41" s="56">
        <f t="shared" si="2"/>
        <v>118.465</v>
      </c>
      <c r="C41" s="56">
        <f t="shared" si="3"/>
        <v>0.95</v>
      </c>
      <c r="D41" s="56">
        <f t="shared" si="0"/>
        <v>-5.855599971229978</v>
      </c>
      <c r="E41" s="56">
        <f t="shared" si="1"/>
        <v>1.5273161945522307</v>
      </c>
    </row>
    <row r="42" spans="1:5" x14ac:dyDescent="0.2">
      <c r="A42">
        <v>39</v>
      </c>
      <c r="B42" s="56">
        <f t="shared" si="2"/>
        <v>121.5825</v>
      </c>
      <c r="C42" s="56">
        <f t="shared" si="3"/>
        <v>0.97499999999999998</v>
      </c>
      <c r="D42" s="56">
        <f t="shared" si="0"/>
        <v>-5.9610285543656198</v>
      </c>
      <c r="E42" s="56">
        <f t="shared" si="1"/>
        <v>1.4881542408457631</v>
      </c>
    </row>
    <row r="43" spans="1:5" x14ac:dyDescent="0.2">
      <c r="A43" s="3" t="s">
        <v>3</v>
      </c>
      <c r="B43" s="56">
        <f t="shared" si="2"/>
        <v>124.7</v>
      </c>
      <c r="C43" s="56">
        <f>1</f>
        <v>1</v>
      </c>
      <c r="D43" s="56">
        <f t="shared" si="0"/>
        <v>-6.0612458040125015</v>
      </c>
      <c r="E43" s="56">
        <f t="shared" si="1"/>
        <v>1.4509503848246192</v>
      </c>
    </row>
    <row r="44" spans="1:5" x14ac:dyDescent="0.2">
      <c r="A44" s="3" t="s">
        <v>23</v>
      </c>
      <c r="B44" s="56">
        <f t="shared" si="2"/>
        <v>137.17000000000002</v>
      </c>
      <c r="C44" s="56">
        <v>1.1000000000000001</v>
      </c>
      <c r="D44" s="56">
        <f t="shared" si="0"/>
        <v>-6.4170120589084236</v>
      </c>
      <c r="E44" s="56">
        <f>E43</f>
        <v>1.4509503848246192</v>
      </c>
    </row>
  </sheetData>
  <mergeCells count="1">
    <mergeCell ref="A1:F1"/>
  </mergeCells>
  <phoneticPr fontId="1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3B272-57DF-4F77-9F80-D25B9486C4BC}">
  <sheetPr codeName="Sheet7"/>
  <dimension ref="A1:O107"/>
  <sheetViews>
    <sheetView workbookViewId="0">
      <selection activeCell="B62" sqref="B62"/>
    </sheetView>
  </sheetViews>
  <sheetFormatPr baseColWidth="10" defaultColWidth="8.83203125" defaultRowHeight="15" x14ac:dyDescent="0.2"/>
  <sheetData>
    <row r="1" spans="1:15" ht="16" x14ac:dyDescent="0.2">
      <c r="A1" s="8" t="s">
        <v>10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ht="16" x14ac:dyDescent="0.2">
      <c r="A2" s="4" t="s">
        <v>6</v>
      </c>
      <c r="B2" s="5" t="s">
        <v>7</v>
      </c>
      <c r="C2" s="5" t="s">
        <v>8</v>
      </c>
      <c r="D2" s="5" t="s">
        <v>9</v>
      </c>
    </row>
    <row r="3" spans="1:15" x14ac:dyDescent="0.2">
      <c r="A3" s="12">
        <v>-180</v>
      </c>
      <c r="B3" s="56">
        <v>0</v>
      </c>
      <c r="C3" s="56">
        <v>0</v>
      </c>
      <c r="D3" s="11">
        <v>0</v>
      </c>
    </row>
    <row r="4" spans="1:15" x14ac:dyDescent="0.2">
      <c r="A4" s="12">
        <v>-175</v>
      </c>
      <c r="B4" s="56">
        <v>0.1736</v>
      </c>
      <c r="C4" s="56">
        <v>1.14E-2</v>
      </c>
      <c r="D4" s="11">
        <f t="shared" ref="D4:D67" si="0">B4/C4</f>
        <v>15.228070175438596</v>
      </c>
    </row>
    <row r="5" spans="1:15" x14ac:dyDescent="0.2">
      <c r="A5" s="12">
        <v>-170</v>
      </c>
      <c r="B5" s="56">
        <v>0.34200000000000003</v>
      </c>
      <c r="C5" s="56">
        <v>4.5199999999999997E-2</v>
      </c>
      <c r="D5" s="11">
        <f t="shared" si="0"/>
        <v>7.5663716814159301</v>
      </c>
    </row>
    <row r="6" spans="1:15" x14ac:dyDescent="0.2">
      <c r="A6" s="12">
        <v>-165</v>
      </c>
      <c r="B6" s="56">
        <v>0.5</v>
      </c>
      <c r="C6" s="56">
        <v>0.10050000000000001</v>
      </c>
      <c r="D6" s="11">
        <f t="shared" si="0"/>
        <v>4.9751243781094523</v>
      </c>
    </row>
    <row r="7" spans="1:15" x14ac:dyDescent="0.2">
      <c r="A7" s="12">
        <v>-160</v>
      </c>
      <c r="B7" s="56">
        <v>0.64280000000000004</v>
      </c>
      <c r="C7" s="56">
        <v>0.17549999999999999</v>
      </c>
      <c r="D7" s="11">
        <f t="shared" si="0"/>
        <v>3.6626780626780633</v>
      </c>
    </row>
    <row r="8" spans="1:15" x14ac:dyDescent="0.2">
      <c r="A8" s="12">
        <v>-155</v>
      </c>
      <c r="B8" s="56">
        <v>0.76600000000000001</v>
      </c>
      <c r="C8" s="56">
        <v>0.26790000000000003</v>
      </c>
      <c r="D8" s="11">
        <f t="shared" si="0"/>
        <v>2.8592758491974615</v>
      </c>
      <c r="F8" s="1"/>
      <c r="G8" s="6"/>
      <c r="H8" s="6"/>
      <c r="I8" s="6"/>
    </row>
    <row r="9" spans="1:15" x14ac:dyDescent="0.2">
      <c r="A9" s="12">
        <v>-150</v>
      </c>
      <c r="B9" s="56">
        <v>0.86599999999999999</v>
      </c>
      <c r="C9" s="56">
        <v>0.375</v>
      </c>
      <c r="D9" s="11">
        <f t="shared" si="0"/>
        <v>2.3093333333333335</v>
      </c>
      <c r="F9" s="1"/>
      <c r="G9" s="6"/>
      <c r="H9" s="6"/>
      <c r="I9" s="6"/>
    </row>
    <row r="10" spans="1:15" x14ac:dyDescent="0.2">
      <c r="A10" s="12">
        <v>-145</v>
      </c>
      <c r="B10" s="56">
        <v>0.93969999999999998</v>
      </c>
      <c r="C10" s="56">
        <v>0.49349999999999999</v>
      </c>
      <c r="D10" s="11">
        <f t="shared" si="0"/>
        <v>1.9041540020263423</v>
      </c>
      <c r="F10" s="1"/>
      <c r="G10" s="6"/>
      <c r="H10" s="6"/>
      <c r="I10" s="6"/>
    </row>
    <row r="11" spans="1:15" x14ac:dyDescent="0.2">
      <c r="A11" s="12">
        <v>-140</v>
      </c>
      <c r="B11" s="56">
        <v>0.98480000000000001</v>
      </c>
      <c r="C11" s="56">
        <v>0.61970000000000003</v>
      </c>
      <c r="D11" s="11">
        <f t="shared" si="0"/>
        <v>1.5891560432467322</v>
      </c>
      <c r="F11" s="1"/>
      <c r="G11" s="6"/>
      <c r="H11" s="6"/>
      <c r="I11" s="6"/>
    </row>
    <row r="12" spans="1:15" x14ac:dyDescent="0.2">
      <c r="A12" s="12">
        <v>-135</v>
      </c>
      <c r="B12" s="56">
        <v>1</v>
      </c>
      <c r="C12" s="56">
        <v>0.75</v>
      </c>
      <c r="D12" s="11">
        <f t="shared" si="0"/>
        <v>1.3333333333333333</v>
      </c>
      <c r="F12" s="1"/>
      <c r="G12" s="6"/>
      <c r="H12" s="6"/>
      <c r="I12" s="6"/>
    </row>
    <row r="13" spans="1:15" x14ac:dyDescent="0.2">
      <c r="A13" s="12">
        <v>-130</v>
      </c>
      <c r="B13" s="56">
        <v>0.98480000000000001</v>
      </c>
      <c r="C13" s="56">
        <v>0.88029999999999997</v>
      </c>
      <c r="D13" s="11">
        <f t="shared" si="0"/>
        <v>1.1187095308417585</v>
      </c>
      <c r="F13" s="1"/>
      <c r="G13" s="6"/>
      <c r="H13" s="6"/>
      <c r="I13" s="6"/>
    </row>
    <row r="14" spans="1:15" x14ac:dyDescent="0.2">
      <c r="A14" s="12">
        <v>-125</v>
      </c>
      <c r="B14" s="56">
        <v>0.93969999999999998</v>
      </c>
      <c r="C14" s="56">
        <v>1.0065</v>
      </c>
      <c r="D14" s="11">
        <f t="shared" si="0"/>
        <v>0.93363139592647792</v>
      </c>
      <c r="F14" s="1"/>
      <c r="G14" s="6"/>
      <c r="H14" s="6"/>
      <c r="I14" s="6"/>
    </row>
    <row r="15" spans="1:15" x14ac:dyDescent="0.2">
      <c r="A15" s="12">
        <v>-120</v>
      </c>
      <c r="B15" s="56">
        <v>0.86599999999999999</v>
      </c>
      <c r="C15" s="56">
        <v>1.125</v>
      </c>
      <c r="D15" s="11">
        <f t="shared" si="0"/>
        <v>0.76977777777777778</v>
      </c>
      <c r="F15" s="1"/>
      <c r="G15" s="6"/>
      <c r="H15" s="6"/>
      <c r="I15" s="6"/>
    </row>
    <row r="16" spans="1:15" x14ac:dyDescent="0.2">
      <c r="A16" s="12">
        <v>-115</v>
      </c>
      <c r="B16" s="56">
        <v>0.76600000000000001</v>
      </c>
      <c r="C16" s="56">
        <v>1.2321</v>
      </c>
      <c r="D16" s="11">
        <f t="shared" si="0"/>
        <v>0.62170278386494604</v>
      </c>
      <c r="F16" s="1"/>
      <c r="G16" s="6"/>
      <c r="H16" s="6"/>
      <c r="I16" s="6"/>
    </row>
    <row r="17" spans="1:9" x14ac:dyDescent="0.2">
      <c r="A17" s="12">
        <v>-110</v>
      </c>
      <c r="B17" s="56">
        <v>0.64280000000000004</v>
      </c>
      <c r="C17" s="56">
        <v>1.3245</v>
      </c>
      <c r="D17" s="11">
        <f t="shared" si="0"/>
        <v>0.48531521328803323</v>
      </c>
      <c r="F17" s="1"/>
      <c r="G17" s="6"/>
      <c r="H17" s="6"/>
      <c r="I17" s="6"/>
    </row>
    <row r="18" spans="1:9" x14ac:dyDescent="0.2">
      <c r="A18" s="12">
        <v>-105</v>
      </c>
      <c r="B18" s="56">
        <v>0.5</v>
      </c>
      <c r="C18" s="56">
        <v>1.3995</v>
      </c>
      <c r="D18" s="11">
        <f t="shared" si="0"/>
        <v>0.35727045373347627</v>
      </c>
      <c r="F18" s="1"/>
      <c r="G18" s="6"/>
      <c r="H18" s="6"/>
      <c r="I18" s="6"/>
    </row>
    <row r="19" spans="1:9" x14ac:dyDescent="0.2">
      <c r="A19" s="12">
        <v>-100</v>
      </c>
      <c r="B19" s="56">
        <v>0.34200000000000003</v>
      </c>
      <c r="C19" s="56">
        <v>1.4548000000000001</v>
      </c>
      <c r="D19" s="11">
        <f t="shared" si="0"/>
        <v>0.23508386032444323</v>
      </c>
      <c r="F19" s="1"/>
      <c r="G19" s="6"/>
      <c r="H19" s="6"/>
      <c r="I19" s="6"/>
    </row>
    <row r="20" spans="1:9" x14ac:dyDescent="0.2">
      <c r="A20" s="12">
        <v>-95</v>
      </c>
      <c r="B20" s="56">
        <v>0.1736</v>
      </c>
      <c r="C20" s="56">
        <v>1.4885999999999999</v>
      </c>
      <c r="D20" s="11">
        <f t="shared" si="0"/>
        <v>0.11661964261722424</v>
      </c>
      <c r="F20" s="1"/>
      <c r="G20" s="6"/>
      <c r="H20" s="6"/>
      <c r="I20" s="6"/>
    </row>
    <row r="21" spans="1:9" x14ac:dyDescent="0.2">
      <c r="A21" s="12">
        <v>-90</v>
      </c>
      <c r="B21" s="56">
        <v>0</v>
      </c>
      <c r="C21" s="56">
        <v>1.5</v>
      </c>
      <c r="D21" s="11">
        <f t="shared" si="0"/>
        <v>0</v>
      </c>
      <c r="F21" s="1"/>
      <c r="G21" s="6"/>
      <c r="H21" s="6"/>
      <c r="I21" s="6"/>
    </row>
    <row r="22" spans="1:9" x14ac:dyDescent="0.2">
      <c r="A22" s="12">
        <v>-85</v>
      </c>
      <c r="B22" s="56">
        <v>-0.1736</v>
      </c>
      <c r="C22" s="56">
        <v>1.4885999999999999</v>
      </c>
      <c r="D22" s="11">
        <f t="shared" si="0"/>
        <v>-0.11661964261722424</v>
      </c>
      <c r="F22" s="1"/>
      <c r="G22" s="6"/>
      <c r="H22" s="6"/>
      <c r="I22" s="6"/>
    </row>
    <row r="23" spans="1:9" x14ac:dyDescent="0.2">
      <c r="A23" s="12">
        <v>-80</v>
      </c>
      <c r="B23" s="56">
        <v>-0.34200000000000003</v>
      </c>
      <c r="C23" s="56">
        <v>1.4548000000000001</v>
      </c>
      <c r="D23" s="11">
        <f t="shared" si="0"/>
        <v>-0.23508386032444323</v>
      </c>
      <c r="F23" s="1"/>
      <c r="G23" s="6"/>
      <c r="H23" s="6"/>
      <c r="I23" s="6"/>
    </row>
    <row r="24" spans="1:9" x14ac:dyDescent="0.2">
      <c r="A24" s="12">
        <v>-75</v>
      </c>
      <c r="B24" s="56">
        <v>-0.5</v>
      </c>
      <c r="C24" s="56">
        <v>1.3995</v>
      </c>
      <c r="D24" s="11">
        <f t="shared" si="0"/>
        <v>-0.35727045373347627</v>
      </c>
      <c r="F24" s="1"/>
      <c r="G24" s="6"/>
      <c r="H24" s="6"/>
      <c r="I24" s="6"/>
    </row>
    <row r="25" spans="1:9" x14ac:dyDescent="0.2">
      <c r="A25" s="12">
        <v>-70</v>
      </c>
      <c r="B25" s="56">
        <v>-0.64280000000000004</v>
      </c>
      <c r="C25" s="56">
        <v>1.3245</v>
      </c>
      <c r="D25" s="11">
        <f t="shared" si="0"/>
        <v>-0.48531521328803323</v>
      </c>
      <c r="F25" s="1"/>
      <c r="G25" s="6"/>
      <c r="H25" s="6"/>
      <c r="I25" s="6"/>
    </row>
    <row r="26" spans="1:9" x14ac:dyDescent="0.2">
      <c r="A26" s="12">
        <v>-65</v>
      </c>
      <c r="B26" s="56">
        <v>-0.76600000000000001</v>
      </c>
      <c r="C26" s="56">
        <v>1.2321</v>
      </c>
      <c r="D26" s="11">
        <f t="shared" si="0"/>
        <v>-0.62170278386494604</v>
      </c>
      <c r="F26" s="1"/>
      <c r="G26" s="6"/>
      <c r="H26" s="6"/>
      <c r="I26" s="6"/>
    </row>
    <row r="27" spans="1:9" x14ac:dyDescent="0.2">
      <c r="A27" s="12">
        <v>-60</v>
      </c>
      <c r="B27" s="56">
        <v>-0.86599999999999999</v>
      </c>
      <c r="C27" s="56">
        <v>1.125</v>
      </c>
      <c r="D27" s="11">
        <f t="shared" si="0"/>
        <v>-0.76977777777777778</v>
      </c>
      <c r="F27" s="1"/>
      <c r="G27" s="6"/>
      <c r="H27" s="6"/>
      <c r="I27" s="6"/>
    </row>
    <row r="28" spans="1:9" x14ac:dyDescent="0.2">
      <c r="A28" s="12">
        <v>-55</v>
      </c>
      <c r="B28" s="56">
        <v>-0.93969999999999998</v>
      </c>
      <c r="C28" s="56">
        <v>1.0065</v>
      </c>
      <c r="D28" s="11">
        <f t="shared" si="0"/>
        <v>-0.93363139592647792</v>
      </c>
      <c r="F28" s="1"/>
      <c r="G28" s="6"/>
      <c r="H28" s="6"/>
      <c r="I28" s="6"/>
    </row>
    <row r="29" spans="1:9" x14ac:dyDescent="0.2">
      <c r="A29" s="12">
        <v>-50</v>
      </c>
      <c r="B29" s="56">
        <v>-0.98480000000000001</v>
      </c>
      <c r="C29" s="56">
        <v>0.86029999999999995</v>
      </c>
      <c r="D29" s="11">
        <f t="shared" si="0"/>
        <v>-1.144716959200279</v>
      </c>
      <c r="F29" s="1"/>
      <c r="G29" s="6"/>
      <c r="H29" s="6"/>
      <c r="I29" s="6"/>
    </row>
    <row r="30" spans="1:9" x14ac:dyDescent="0.2">
      <c r="A30" s="12">
        <v>-45</v>
      </c>
      <c r="B30" s="56">
        <v>-1.012</v>
      </c>
      <c r="C30" s="56">
        <v>0.71199999999999997</v>
      </c>
      <c r="D30" s="11">
        <f t="shared" si="0"/>
        <v>-1.4213483146067416</v>
      </c>
      <c r="F30" s="1"/>
      <c r="G30" s="6"/>
      <c r="H30" s="6"/>
      <c r="I30" s="6"/>
    </row>
    <row r="31" spans="1:9" x14ac:dyDescent="0.2">
      <c r="A31" s="12">
        <v>-40</v>
      </c>
      <c r="B31" s="56">
        <v>-1.0376000000000001</v>
      </c>
      <c r="C31" s="56">
        <v>0.54749999999999999</v>
      </c>
      <c r="D31" s="11">
        <f t="shared" si="0"/>
        <v>-1.8951598173515984</v>
      </c>
      <c r="F31" s="1"/>
      <c r="G31" s="6"/>
      <c r="H31" s="6"/>
      <c r="I31" s="6"/>
    </row>
    <row r="32" spans="1:9" x14ac:dyDescent="0.2">
      <c r="A32" s="12">
        <v>-39</v>
      </c>
      <c r="B32" s="56">
        <v>-1.0419</v>
      </c>
      <c r="C32" s="56">
        <v>0.51649999999999996</v>
      </c>
      <c r="D32" s="11">
        <f t="shared" si="0"/>
        <v>-2.0172313649564377</v>
      </c>
      <c r="F32" s="1"/>
      <c r="G32" s="6"/>
      <c r="H32" s="6"/>
      <c r="I32" s="6"/>
    </row>
    <row r="33" spans="1:9" x14ac:dyDescent="0.2">
      <c r="A33" s="12">
        <v>-38</v>
      </c>
      <c r="B33" s="56">
        <v>-1.0462</v>
      </c>
      <c r="C33" s="56">
        <v>0.48159999999999997</v>
      </c>
      <c r="D33" s="11">
        <f t="shared" si="0"/>
        <v>-2.1723421926910302</v>
      </c>
      <c r="F33" s="1"/>
      <c r="G33" s="6"/>
      <c r="H33" s="6"/>
      <c r="I33" s="6"/>
    </row>
    <row r="34" spans="1:9" x14ac:dyDescent="0.2">
      <c r="A34" s="12">
        <v>-37</v>
      </c>
      <c r="B34" s="56">
        <v>-1.0525</v>
      </c>
      <c r="C34" s="56">
        <v>0.44869999999999999</v>
      </c>
      <c r="D34" s="11">
        <f t="shared" si="0"/>
        <v>-2.3456652551816357</v>
      </c>
      <c r="F34" s="1"/>
      <c r="G34" s="6"/>
      <c r="H34" s="6"/>
      <c r="I34" s="6"/>
    </row>
    <row r="35" spans="1:9" x14ac:dyDescent="0.2">
      <c r="A35" s="12">
        <v>-36</v>
      </c>
      <c r="B35" s="56">
        <v>-1.0568</v>
      </c>
      <c r="C35" s="56">
        <v>0.41770000000000002</v>
      </c>
      <c r="D35" s="11">
        <f t="shared" si="0"/>
        <v>-2.5300454871917641</v>
      </c>
      <c r="F35" s="1"/>
      <c r="G35" s="6"/>
      <c r="H35" s="6"/>
      <c r="I35" s="6"/>
    </row>
    <row r="36" spans="1:9" x14ac:dyDescent="0.2">
      <c r="A36" s="12">
        <v>-35</v>
      </c>
      <c r="B36" s="56">
        <v>-1.0610999999999999</v>
      </c>
      <c r="C36" s="56">
        <v>0.38479999999999998</v>
      </c>
      <c r="D36" s="11">
        <f t="shared" si="0"/>
        <v>-2.7575363825363826</v>
      </c>
      <c r="F36" s="1"/>
      <c r="G36" s="6"/>
      <c r="H36" s="6"/>
      <c r="I36" s="6"/>
    </row>
    <row r="37" spans="1:9" x14ac:dyDescent="0.2">
      <c r="A37" s="12">
        <v>-34</v>
      </c>
      <c r="B37" s="56">
        <v>-1.0653999999999999</v>
      </c>
      <c r="C37" s="56">
        <v>0.35580000000000001</v>
      </c>
      <c r="D37" s="11">
        <f t="shared" si="0"/>
        <v>-2.9943788645306348</v>
      </c>
      <c r="F37" s="1"/>
      <c r="G37" s="6"/>
      <c r="H37" s="6"/>
      <c r="I37" s="6"/>
    </row>
    <row r="38" spans="1:9" x14ac:dyDescent="0.2">
      <c r="A38" s="12">
        <v>-33</v>
      </c>
      <c r="B38" s="56">
        <v>-1.0717000000000001</v>
      </c>
      <c r="C38" s="56">
        <v>0.32890000000000003</v>
      </c>
      <c r="D38" s="11">
        <f t="shared" si="0"/>
        <v>-3.258437214958954</v>
      </c>
      <c r="F38" s="1"/>
      <c r="G38" s="6"/>
      <c r="H38" s="6"/>
      <c r="I38" s="6"/>
    </row>
    <row r="39" spans="1:9" x14ac:dyDescent="0.2">
      <c r="A39" s="12">
        <v>-32</v>
      </c>
      <c r="B39" s="56">
        <v>-1.0765</v>
      </c>
      <c r="C39" s="56">
        <v>0.30309999999999998</v>
      </c>
      <c r="D39" s="11">
        <f t="shared" si="0"/>
        <v>-3.5516331243813926</v>
      </c>
      <c r="F39" s="1"/>
      <c r="G39" s="6"/>
      <c r="H39" s="6"/>
      <c r="I39" s="6"/>
    </row>
    <row r="40" spans="1:9" x14ac:dyDescent="0.2">
      <c r="A40" s="12">
        <v>-30</v>
      </c>
      <c r="B40" s="56">
        <v>-1.0889</v>
      </c>
      <c r="C40" s="56">
        <v>0.25600000000000001</v>
      </c>
      <c r="D40" s="11">
        <f t="shared" si="0"/>
        <v>-4.2535156249999995</v>
      </c>
      <c r="F40" s="1"/>
      <c r="G40" s="6"/>
      <c r="H40" s="6"/>
      <c r="I40" s="6"/>
    </row>
    <row r="41" spans="1:9" x14ac:dyDescent="0.2">
      <c r="A41" s="12">
        <v>-28</v>
      </c>
      <c r="B41" s="56">
        <v>-1.0992999999999999</v>
      </c>
      <c r="C41" s="56">
        <v>0.20899999999999999</v>
      </c>
      <c r="D41" s="11">
        <f t="shared" si="0"/>
        <v>-5.2598086124401915</v>
      </c>
    </row>
    <row r="42" spans="1:9" x14ac:dyDescent="0.2">
      <c r="A42" s="12">
        <v>-26</v>
      </c>
      <c r="B42" s="56">
        <v>-1.1168</v>
      </c>
      <c r="C42" s="56">
        <v>0.17560000000000001</v>
      </c>
      <c r="D42" s="11">
        <f t="shared" si="0"/>
        <v>-6.3599088838268791</v>
      </c>
    </row>
    <row r="43" spans="1:9" x14ac:dyDescent="0.2">
      <c r="A43" s="12">
        <v>-24</v>
      </c>
      <c r="B43" s="56">
        <v>-1.1282000000000001</v>
      </c>
      <c r="C43" s="56">
        <v>0.14230000000000001</v>
      </c>
      <c r="D43" s="11">
        <f t="shared" si="0"/>
        <v>-7.9283204497540405</v>
      </c>
    </row>
    <row r="44" spans="1:9" x14ac:dyDescent="0.2">
      <c r="A44" s="12">
        <v>-22</v>
      </c>
      <c r="B44" s="56">
        <v>-1.1214999999999999</v>
      </c>
      <c r="C44" s="56">
        <v>0.1183</v>
      </c>
      <c r="D44" s="11">
        <f t="shared" si="0"/>
        <v>-9.4801352493660183</v>
      </c>
    </row>
    <row r="45" spans="1:9" x14ac:dyDescent="0.2">
      <c r="A45" s="12">
        <v>-20</v>
      </c>
      <c r="B45" s="56">
        <v>-1.1148</v>
      </c>
      <c r="C45" s="56">
        <v>9.4299999999999995E-2</v>
      </c>
      <c r="D45" s="11">
        <f t="shared" si="0"/>
        <v>-11.82184517497349</v>
      </c>
    </row>
    <row r="46" spans="1:9" x14ac:dyDescent="0.2">
      <c r="A46" s="12">
        <v>-18</v>
      </c>
      <c r="B46" s="56">
        <v>-1.0919000000000001</v>
      </c>
      <c r="C46" s="56">
        <v>7.6499999999999999E-2</v>
      </c>
      <c r="D46" s="11">
        <f t="shared" si="0"/>
        <v>-14.273202614379086</v>
      </c>
    </row>
    <row r="47" spans="1:9" x14ac:dyDescent="0.2">
      <c r="A47" s="12">
        <v>-16</v>
      </c>
      <c r="B47" s="56">
        <v>-1.0690999999999999</v>
      </c>
      <c r="C47" s="56">
        <v>5.8700000000000002E-2</v>
      </c>
      <c r="D47" s="11">
        <f t="shared" si="0"/>
        <v>-18.212947189097104</v>
      </c>
    </row>
    <row r="48" spans="1:9" x14ac:dyDescent="0.2">
      <c r="A48" s="12">
        <v>-14</v>
      </c>
      <c r="B48" s="56">
        <v>-1.0379</v>
      </c>
      <c r="C48" s="56">
        <v>4.5400000000000003E-2</v>
      </c>
      <c r="D48" s="11">
        <f t="shared" si="0"/>
        <v>-22.86123348017621</v>
      </c>
    </row>
    <row r="49" spans="1:4" x14ac:dyDescent="0.2">
      <c r="A49" s="12">
        <v>-12</v>
      </c>
      <c r="B49" s="56">
        <v>-1.0066999999999999</v>
      </c>
      <c r="C49" s="56">
        <v>3.2099999999999997E-2</v>
      </c>
      <c r="D49" s="11">
        <f t="shared" si="0"/>
        <v>-31.361370716510905</v>
      </c>
    </row>
    <row r="50" spans="1:4" x14ac:dyDescent="0.2">
      <c r="A50" s="12">
        <v>-10</v>
      </c>
      <c r="B50" s="56">
        <v>-0.84789999999999999</v>
      </c>
      <c r="C50" s="56">
        <v>2.3E-2</v>
      </c>
      <c r="D50" s="11">
        <f t="shared" si="0"/>
        <v>-36.865217391304348</v>
      </c>
    </row>
    <row r="51" spans="1:4" x14ac:dyDescent="0.2">
      <c r="A51" s="12">
        <v>-8</v>
      </c>
      <c r="B51" s="56">
        <v>-0.68920000000000003</v>
      </c>
      <c r="C51" s="56">
        <v>1.38E-2</v>
      </c>
      <c r="D51" s="11">
        <f t="shared" si="0"/>
        <v>-49.94202898550725</v>
      </c>
    </row>
    <row r="52" spans="1:4" x14ac:dyDescent="0.2">
      <c r="A52" s="12">
        <v>-6</v>
      </c>
      <c r="B52" s="56">
        <v>-0.42780000000000001</v>
      </c>
      <c r="C52" s="56">
        <v>1.18E-2</v>
      </c>
      <c r="D52" s="11">
        <f t="shared" si="0"/>
        <v>-36.254237288135599</v>
      </c>
    </row>
    <row r="53" spans="1:4" x14ac:dyDescent="0.2">
      <c r="A53" s="12">
        <v>-4</v>
      </c>
      <c r="B53" s="56">
        <v>-0.16650000000000001</v>
      </c>
      <c r="C53" s="56">
        <v>9.7999999999999997E-3</v>
      </c>
      <c r="D53" s="11">
        <f t="shared" si="0"/>
        <v>-16.989795918367349</v>
      </c>
    </row>
    <row r="54" spans="1:4" x14ac:dyDescent="0.2">
      <c r="A54" s="12">
        <v>-2</v>
      </c>
      <c r="B54" s="56">
        <v>8.6300000000000002E-2</v>
      </c>
      <c r="C54" s="56">
        <v>9.4999999999999998E-3</v>
      </c>
      <c r="D54" s="11">
        <f t="shared" si="0"/>
        <v>9.0842105263157897</v>
      </c>
    </row>
    <row r="55" spans="1:4" x14ac:dyDescent="0.2">
      <c r="A55" s="12">
        <v>0</v>
      </c>
      <c r="B55" s="56">
        <v>0.33910000000000001</v>
      </c>
      <c r="C55" s="56">
        <v>9.1999999999999998E-3</v>
      </c>
      <c r="D55" s="11">
        <f t="shared" si="0"/>
        <v>36.858695652173914</v>
      </c>
    </row>
    <row r="56" spans="1:4" x14ac:dyDescent="0.2">
      <c r="A56" s="12">
        <v>2</v>
      </c>
      <c r="B56" s="56">
        <v>0.5867</v>
      </c>
      <c r="C56" s="56">
        <v>9.4000000000000004E-3</v>
      </c>
      <c r="D56" s="11">
        <f t="shared" si="0"/>
        <v>62.414893617021271</v>
      </c>
    </row>
    <row r="57" spans="1:4" x14ac:dyDescent="0.2">
      <c r="A57" s="12">
        <v>4</v>
      </c>
      <c r="B57" s="56">
        <v>0.83009999999999995</v>
      </c>
      <c r="C57" s="56">
        <v>9.9000000000000008E-3</v>
      </c>
      <c r="D57" s="11">
        <f t="shared" si="0"/>
        <v>83.84848484848483</v>
      </c>
    </row>
    <row r="58" spans="1:4" x14ac:dyDescent="0.2">
      <c r="A58" s="12">
        <v>6</v>
      </c>
      <c r="B58" s="56">
        <v>1.0656000000000001</v>
      </c>
      <c r="C58" s="56">
        <v>1.09E-2</v>
      </c>
      <c r="D58" s="11">
        <f t="shared" si="0"/>
        <v>97.761467889908261</v>
      </c>
    </row>
    <row r="59" spans="1:4" x14ac:dyDescent="0.2">
      <c r="A59" s="12">
        <v>8</v>
      </c>
      <c r="B59" s="56">
        <v>1.2914000000000001</v>
      </c>
      <c r="C59" s="56">
        <v>1.24E-2</v>
      </c>
      <c r="D59" s="11">
        <f t="shared" si="0"/>
        <v>104.14516129032259</v>
      </c>
    </row>
    <row r="60" spans="1:4" x14ac:dyDescent="0.2">
      <c r="A60" s="12">
        <v>10</v>
      </c>
      <c r="B60" s="56">
        <v>1.5012000000000001</v>
      </c>
      <c r="C60" s="56">
        <v>1.44E-2</v>
      </c>
      <c r="D60" s="11">
        <f t="shared" si="0"/>
        <v>104.25000000000001</v>
      </c>
    </row>
    <row r="61" spans="1:4" x14ac:dyDescent="0.2">
      <c r="A61" s="12">
        <v>12</v>
      </c>
      <c r="B61" s="56">
        <v>1.6886000000000001</v>
      </c>
      <c r="C61" s="56">
        <v>1.7299999999999999E-2</v>
      </c>
      <c r="D61" s="11">
        <f t="shared" si="0"/>
        <v>97.606936416184979</v>
      </c>
    </row>
    <row r="62" spans="1:4" x14ac:dyDescent="0.2">
      <c r="A62" s="12">
        <v>14</v>
      </c>
      <c r="B62" s="56">
        <v>1.8103</v>
      </c>
      <c r="C62" s="56">
        <v>2.2599999999999999E-2</v>
      </c>
      <c r="D62" s="11">
        <f t="shared" si="0"/>
        <v>80.101769911504434</v>
      </c>
    </row>
    <row r="63" spans="1:4" x14ac:dyDescent="0.2">
      <c r="A63" s="12">
        <v>16</v>
      </c>
      <c r="B63" s="56">
        <v>1.8139000000000001</v>
      </c>
      <c r="C63" s="56">
        <v>3.5400000000000001E-2</v>
      </c>
      <c r="D63" s="11">
        <f t="shared" si="0"/>
        <v>51.240112994350284</v>
      </c>
    </row>
    <row r="64" spans="1:4" x14ac:dyDescent="0.2">
      <c r="A64" s="12">
        <v>18</v>
      </c>
      <c r="B64" s="56">
        <v>1.7544999999999999</v>
      </c>
      <c r="C64" s="56">
        <v>6.4699999999999994E-2</v>
      </c>
      <c r="D64" s="11">
        <f t="shared" si="0"/>
        <v>27.117465224111285</v>
      </c>
    </row>
    <row r="65" spans="1:4" x14ac:dyDescent="0.2">
      <c r="A65" s="12">
        <v>20</v>
      </c>
      <c r="B65" s="56">
        <v>1.6071</v>
      </c>
      <c r="C65" s="56">
        <v>0.10349999999999999</v>
      </c>
      <c r="D65" s="11">
        <f t="shared" si="0"/>
        <v>15.527536231884058</v>
      </c>
    </row>
    <row r="66" spans="1:4" x14ac:dyDescent="0.2">
      <c r="A66" s="12">
        <v>22</v>
      </c>
      <c r="B66" s="56">
        <v>1.5257000000000001</v>
      </c>
      <c r="C66" s="56">
        <v>0.14369999999999999</v>
      </c>
      <c r="D66" s="11">
        <f t="shared" si="0"/>
        <v>10.617258176757133</v>
      </c>
    </row>
    <row r="67" spans="1:4" x14ac:dyDescent="0.2">
      <c r="A67" s="12">
        <v>24</v>
      </c>
      <c r="B67" s="56">
        <v>1.4428000000000001</v>
      </c>
      <c r="C67" s="56">
        <v>0.18410000000000001</v>
      </c>
      <c r="D67" s="11">
        <f t="shared" si="0"/>
        <v>7.837045084193373</v>
      </c>
    </row>
    <row r="68" spans="1:4" x14ac:dyDescent="0.2">
      <c r="A68" s="12">
        <v>26</v>
      </c>
      <c r="B68" s="56">
        <v>1.3826000000000001</v>
      </c>
      <c r="C68" s="56">
        <v>0.22900000000000001</v>
      </c>
      <c r="D68" s="11">
        <f t="shared" ref="D68:D106" si="1">B68/C68</f>
        <v>6.0375545851528383</v>
      </c>
    </row>
    <row r="69" spans="1:4" x14ac:dyDescent="0.2">
      <c r="A69" s="12">
        <v>28</v>
      </c>
      <c r="B69" s="56">
        <v>1.3218000000000001</v>
      </c>
      <c r="C69" s="56">
        <v>0.27379999999999999</v>
      </c>
      <c r="D69" s="11">
        <f t="shared" si="1"/>
        <v>4.8276113951789634</v>
      </c>
    </row>
    <row r="70" spans="1:4" x14ac:dyDescent="0.2">
      <c r="A70" s="12">
        <v>30</v>
      </c>
      <c r="B70" s="56">
        <v>1.2583</v>
      </c>
      <c r="C70" s="56">
        <v>0.32779999999999998</v>
      </c>
      <c r="D70" s="11">
        <f t="shared" si="1"/>
        <v>3.8386211104331913</v>
      </c>
    </row>
    <row r="71" spans="1:4" x14ac:dyDescent="0.2">
      <c r="A71" s="12">
        <v>32</v>
      </c>
      <c r="B71" s="56">
        <v>1.1943999999999999</v>
      </c>
      <c r="C71" s="56">
        <v>0.38159999999999999</v>
      </c>
      <c r="D71" s="11">
        <f t="shared" si="1"/>
        <v>3.1299790356394128</v>
      </c>
    </row>
    <row r="72" spans="1:4" x14ac:dyDescent="0.2">
      <c r="A72" s="12">
        <v>33</v>
      </c>
      <c r="B72" s="56">
        <v>1.1734</v>
      </c>
      <c r="C72" s="56">
        <v>0.4209</v>
      </c>
      <c r="D72" s="11">
        <f t="shared" si="1"/>
        <v>2.7878355904015204</v>
      </c>
    </row>
    <row r="73" spans="1:4" x14ac:dyDescent="0.2">
      <c r="A73" s="12">
        <v>34</v>
      </c>
      <c r="B73" s="56">
        <v>1.1568000000000001</v>
      </c>
      <c r="C73" s="56">
        <v>0.45040000000000002</v>
      </c>
      <c r="D73" s="11">
        <f t="shared" si="1"/>
        <v>2.5683836589698048</v>
      </c>
    </row>
    <row r="74" spans="1:4" x14ac:dyDescent="0.2">
      <c r="A74" s="12">
        <v>35</v>
      </c>
      <c r="B74" s="56">
        <v>1.1378999999999999</v>
      </c>
      <c r="C74" s="56">
        <v>0.48149999999999998</v>
      </c>
      <c r="D74" s="11">
        <f t="shared" si="1"/>
        <v>2.3632398753894082</v>
      </c>
    </row>
    <row r="75" spans="1:4" x14ac:dyDescent="0.2">
      <c r="A75" s="12">
        <v>36</v>
      </c>
      <c r="B75" s="56">
        <v>1.1248</v>
      </c>
      <c r="C75" s="56">
        <v>0.51049999999999995</v>
      </c>
      <c r="D75" s="11">
        <f t="shared" si="1"/>
        <v>2.2033300685602355</v>
      </c>
    </row>
    <row r="76" spans="1:4" x14ac:dyDescent="0.2">
      <c r="A76" s="12">
        <v>37</v>
      </c>
      <c r="B76" s="56">
        <v>1.1176999999999999</v>
      </c>
      <c r="C76" s="56">
        <v>0.54500000000000004</v>
      </c>
      <c r="D76" s="11">
        <f t="shared" si="1"/>
        <v>2.0508256880733944</v>
      </c>
    </row>
    <row r="77" spans="1:4" x14ac:dyDescent="0.2">
      <c r="A77" s="12">
        <v>38</v>
      </c>
      <c r="B77" s="56">
        <v>1.1024</v>
      </c>
      <c r="C77" s="56">
        <v>0.57369999999999999</v>
      </c>
      <c r="D77" s="11">
        <f t="shared" si="1"/>
        <v>1.9215617918772878</v>
      </c>
    </row>
    <row r="78" spans="1:4" x14ac:dyDescent="0.2">
      <c r="A78" s="12">
        <v>39</v>
      </c>
      <c r="B78" s="56">
        <v>1.0891</v>
      </c>
      <c r="C78" s="56">
        <v>0.59989999999999999</v>
      </c>
      <c r="D78" s="11">
        <f t="shared" si="1"/>
        <v>1.8154692448741456</v>
      </c>
    </row>
    <row r="79" spans="1:4" x14ac:dyDescent="0.2">
      <c r="A79" s="12">
        <v>40</v>
      </c>
      <c r="B79" s="56">
        <v>1.0754999999999999</v>
      </c>
      <c r="C79" s="56">
        <v>0.628</v>
      </c>
      <c r="D79" s="11">
        <f t="shared" si="1"/>
        <v>1.7125796178343948</v>
      </c>
    </row>
    <row r="80" spans="1:4" x14ac:dyDescent="0.2">
      <c r="A80" s="12">
        <v>45</v>
      </c>
      <c r="B80" s="56">
        <v>1.0175000000000001</v>
      </c>
      <c r="C80" s="56">
        <v>0.75780000000000003</v>
      </c>
      <c r="D80" s="11">
        <f t="shared" si="1"/>
        <v>1.3427025600422275</v>
      </c>
    </row>
    <row r="81" spans="1:4" x14ac:dyDescent="0.2">
      <c r="A81" s="12">
        <v>50</v>
      </c>
      <c r="B81" s="56">
        <v>0.97160000000000002</v>
      </c>
      <c r="C81" s="56">
        <v>0.88200000000000001</v>
      </c>
      <c r="D81" s="11">
        <f t="shared" si="1"/>
        <v>1.1015873015873017</v>
      </c>
    </row>
    <row r="82" spans="1:4" x14ac:dyDescent="0.2">
      <c r="A82" s="12">
        <v>55</v>
      </c>
      <c r="B82" s="56">
        <v>0.92679999999999996</v>
      </c>
      <c r="C82" s="56">
        <v>1.0104</v>
      </c>
      <c r="D82" s="11">
        <f t="shared" si="1"/>
        <v>0.91726049089469519</v>
      </c>
    </row>
    <row r="83" spans="1:4" x14ac:dyDescent="0.2">
      <c r="A83" s="12">
        <v>60</v>
      </c>
      <c r="B83" s="56">
        <v>0.86599999999999999</v>
      </c>
      <c r="C83" s="56">
        <v>1.125</v>
      </c>
      <c r="D83" s="11">
        <f t="shared" si="1"/>
        <v>0.76977777777777778</v>
      </c>
    </row>
    <row r="84" spans="1:4" x14ac:dyDescent="0.2">
      <c r="A84" s="12">
        <v>65</v>
      </c>
      <c r="B84" s="56">
        <v>0.76600000000000001</v>
      </c>
      <c r="C84" s="56">
        <v>1.2321</v>
      </c>
      <c r="D84" s="11">
        <f t="shared" si="1"/>
        <v>0.62170278386494604</v>
      </c>
    </row>
    <row r="85" spans="1:4" x14ac:dyDescent="0.2">
      <c r="A85" s="12">
        <v>70</v>
      </c>
      <c r="B85" s="56">
        <v>0.64280000000000004</v>
      </c>
      <c r="C85" s="56">
        <v>1.3245</v>
      </c>
      <c r="D85" s="11">
        <f t="shared" si="1"/>
        <v>0.48531521328803323</v>
      </c>
    </row>
    <row r="86" spans="1:4" x14ac:dyDescent="0.2">
      <c r="A86" s="12">
        <v>75</v>
      </c>
      <c r="B86" s="56">
        <v>0.5</v>
      </c>
      <c r="C86" s="56">
        <v>1.3995</v>
      </c>
      <c r="D86" s="11">
        <f t="shared" si="1"/>
        <v>0.35727045373347627</v>
      </c>
    </row>
    <row r="87" spans="1:4" x14ac:dyDescent="0.2">
      <c r="A87" s="12">
        <v>80</v>
      </c>
      <c r="B87" s="56">
        <v>0.34200000000000003</v>
      </c>
      <c r="C87" s="56">
        <v>1.4548000000000001</v>
      </c>
      <c r="D87" s="11">
        <f t="shared" si="1"/>
        <v>0.23508386032444323</v>
      </c>
    </row>
    <row r="88" spans="1:4" x14ac:dyDescent="0.2">
      <c r="A88" s="12">
        <v>85</v>
      </c>
      <c r="B88" s="56">
        <v>0.1736</v>
      </c>
      <c r="C88" s="56">
        <v>1.4885999999999999</v>
      </c>
      <c r="D88" s="11">
        <f t="shared" si="1"/>
        <v>0.11661964261722424</v>
      </c>
    </row>
    <row r="89" spans="1:4" x14ac:dyDescent="0.2">
      <c r="A89" s="12">
        <v>90</v>
      </c>
      <c r="B89" s="56">
        <v>0</v>
      </c>
      <c r="C89" s="56">
        <v>1.5</v>
      </c>
      <c r="D89" s="11">
        <f t="shared" si="1"/>
        <v>0</v>
      </c>
    </row>
    <row r="90" spans="1:4" x14ac:dyDescent="0.2">
      <c r="A90" s="12">
        <v>95</v>
      </c>
      <c r="B90" s="56">
        <v>-0.1736</v>
      </c>
      <c r="C90" s="56">
        <v>1.4885999999999999</v>
      </c>
      <c r="D90" s="11">
        <f t="shared" si="1"/>
        <v>-0.11661964261722424</v>
      </c>
    </row>
    <row r="91" spans="1:4" x14ac:dyDescent="0.2">
      <c r="A91" s="12">
        <v>100</v>
      </c>
      <c r="B91" s="56">
        <v>-0.34200000000000003</v>
      </c>
      <c r="C91" s="56">
        <v>1.4548000000000001</v>
      </c>
      <c r="D91" s="11">
        <f t="shared" si="1"/>
        <v>-0.23508386032444323</v>
      </c>
    </row>
    <row r="92" spans="1:4" x14ac:dyDescent="0.2">
      <c r="A92" s="12">
        <v>105</v>
      </c>
      <c r="B92" s="56">
        <v>-0.5</v>
      </c>
      <c r="C92" s="56">
        <v>1.3995</v>
      </c>
      <c r="D92" s="11">
        <f t="shared" si="1"/>
        <v>-0.35727045373347627</v>
      </c>
    </row>
    <row r="93" spans="1:4" x14ac:dyDescent="0.2">
      <c r="A93" s="12">
        <v>110</v>
      </c>
      <c r="B93" s="56">
        <v>-0.64280000000000004</v>
      </c>
      <c r="C93" s="56">
        <v>1.3245</v>
      </c>
      <c r="D93" s="11">
        <f t="shared" si="1"/>
        <v>-0.48531521328803323</v>
      </c>
    </row>
    <row r="94" spans="1:4" x14ac:dyDescent="0.2">
      <c r="A94" s="12">
        <v>115</v>
      </c>
      <c r="B94" s="56">
        <v>-0.76600000000000001</v>
      </c>
      <c r="C94" s="56">
        <v>1.2321</v>
      </c>
      <c r="D94" s="11">
        <f t="shared" si="1"/>
        <v>-0.62170278386494604</v>
      </c>
    </row>
    <row r="95" spans="1:4" x14ac:dyDescent="0.2">
      <c r="A95" s="12">
        <v>120</v>
      </c>
      <c r="B95" s="56">
        <v>-0.86599999999999999</v>
      </c>
      <c r="C95" s="56">
        <v>1.125</v>
      </c>
      <c r="D95" s="11">
        <f t="shared" si="1"/>
        <v>-0.76977777777777778</v>
      </c>
    </row>
    <row r="96" spans="1:4" x14ac:dyDescent="0.2">
      <c r="A96" s="12">
        <v>125</v>
      </c>
      <c r="B96" s="56">
        <v>-0.93969999999999998</v>
      </c>
      <c r="C96" s="56">
        <v>1.0065</v>
      </c>
      <c r="D96" s="11">
        <f t="shared" si="1"/>
        <v>-0.93363139592647792</v>
      </c>
    </row>
    <row r="97" spans="1:4" x14ac:dyDescent="0.2">
      <c r="A97" s="12">
        <v>130</v>
      </c>
      <c r="B97" s="56">
        <v>-0.98480000000000001</v>
      </c>
      <c r="C97" s="56">
        <v>0.88029999999999997</v>
      </c>
      <c r="D97" s="11">
        <f t="shared" si="1"/>
        <v>-1.1187095308417585</v>
      </c>
    </row>
    <row r="98" spans="1:4" x14ac:dyDescent="0.2">
      <c r="A98" s="12">
        <v>135</v>
      </c>
      <c r="B98" s="56">
        <v>-1</v>
      </c>
      <c r="C98" s="56">
        <v>0.75</v>
      </c>
      <c r="D98" s="11">
        <f t="shared" si="1"/>
        <v>-1.3333333333333333</v>
      </c>
    </row>
    <row r="99" spans="1:4" x14ac:dyDescent="0.2">
      <c r="A99" s="12">
        <v>140</v>
      </c>
      <c r="B99" s="56">
        <v>-0.98480000000000001</v>
      </c>
      <c r="C99" s="56">
        <v>0.61970000000000003</v>
      </c>
      <c r="D99" s="11">
        <f t="shared" si="1"/>
        <v>-1.5891560432467322</v>
      </c>
    </row>
    <row r="100" spans="1:4" x14ac:dyDescent="0.2">
      <c r="A100" s="12">
        <v>145</v>
      </c>
      <c r="B100" s="56">
        <v>-0.93969999999999998</v>
      </c>
      <c r="C100" s="56">
        <v>0.49349999999999999</v>
      </c>
      <c r="D100" s="11">
        <f t="shared" si="1"/>
        <v>-1.9041540020263423</v>
      </c>
    </row>
    <row r="101" spans="1:4" x14ac:dyDescent="0.2">
      <c r="A101" s="12">
        <v>150</v>
      </c>
      <c r="B101" s="56">
        <v>-0.86599999999999999</v>
      </c>
      <c r="C101" s="56">
        <v>0.375</v>
      </c>
      <c r="D101" s="11">
        <f t="shared" si="1"/>
        <v>-2.3093333333333335</v>
      </c>
    </row>
    <row r="102" spans="1:4" x14ac:dyDescent="0.2">
      <c r="A102" s="12">
        <v>155</v>
      </c>
      <c r="B102" s="56">
        <v>-0.76600000000000001</v>
      </c>
      <c r="C102" s="56">
        <v>0.26790000000000003</v>
      </c>
      <c r="D102" s="11">
        <f t="shared" si="1"/>
        <v>-2.8592758491974615</v>
      </c>
    </row>
    <row r="103" spans="1:4" x14ac:dyDescent="0.2">
      <c r="A103" s="12">
        <v>160</v>
      </c>
      <c r="B103" s="56">
        <v>-0.64280000000000004</v>
      </c>
      <c r="C103" s="56">
        <v>0.17549999999999999</v>
      </c>
      <c r="D103" s="11">
        <f t="shared" si="1"/>
        <v>-3.6626780626780633</v>
      </c>
    </row>
    <row r="104" spans="1:4" x14ac:dyDescent="0.2">
      <c r="A104" s="12">
        <v>165</v>
      </c>
      <c r="B104" s="56">
        <v>-0.5</v>
      </c>
      <c r="C104" s="56">
        <v>0.10050000000000001</v>
      </c>
      <c r="D104" s="11">
        <f t="shared" si="1"/>
        <v>-4.9751243781094523</v>
      </c>
    </row>
    <row r="105" spans="1:4" x14ac:dyDescent="0.2">
      <c r="A105" s="12">
        <v>170</v>
      </c>
      <c r="B105" s="56">
        <v>-0.34200000000000003</v>
      </c>
      <c r="C105" s="56">
        <v>4.5199999999999997E-2</v>
      </c>
      <c r="D105" s="11">
        <f t="shared" si="1"/>
        <v>-7.5663716814159301</v>
      </c>
    </row>
    <row r="106" spans="1:4" x14ac:dyDescent="0.2">
      <c r="A106" s="12">
        <v>175</v>
      </c>
      <c r="B106" s="56">
        <v>-0.1736</v>
      </c>
      <c r="C106" s="56">
        <v>1.14E-2</v>
      </c>
      <c r="D106" s="11">
        <f t="shared" si="1"/>
        <v>-15.228070175438596</v>
      </c>
    </row>
    <row r="107" spans="1:4" x14ac:dyDescent="0.2">
      <c r="A107" s="12">
        <v>180</v>
      </c>
      <c r="B107" s="56">
        <v>0</v>
      </c>
      <c r="C107" s="56">
        <v>0</v>
      </c>
      <c r="D107" s="11">
        <v>0</v>
      </c>
    </row>
  </sheetData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A3FB1-E9A9-4D19-8086-A987925F87E3}">
  <sheetPr codeName="Sheet2"/>
  <dimension ref="A1:O107"/>
  <sheetViews>
    <sheetView workbookViewId="0">
      <selection activeCell="B60" sqref="B60"/>
    </sheetView>
  </sheetViews>
  <sheetFormatPr baseColWidth="10" defaultColWidth="8.83203125" defaultRowHeight="15" x14ac:dyDescent="0.2"/>
  <sheetData>
    <row r="1" spans="1:15" ht="16" x14ac:dyDescent="0.2">
      <c r="A1" s="8" t="s">
        <v>10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ht="16" x14ac:dyDescent="0.2">
      <c r="A2" s="4" t="s">
        <v>6</v>
      </c>
      <c r="B2" s="5" t="s">
        <v>7</v>
      </c>
      <c r="C2" s="5" t="s">
        <v>8</v>
      </c>
      <c r="D2" s="5" t="s">
        <v>9</v>
      </c>
    </row>
    <row r="3" spans="1:15" x14ac:dyDescent="0.2">
      <c r="A3" s="12">
        <v>-180</v>
      </c>
      <c r="B3" s="88">
        <v>0</v>
      </c>
      <c r="C3" s="88">
        <v>0</v>
      </c>
      <c r="D3" s="11">
        <v>0</v>
      </c>
    </row>
    <row r="4" spans="1:15" x14ac:dyDescent="0.2">
      <c r="A4" s="12">
        <v>-175</v>
      </c>
      <c r="B4" s="88">
        <v>0.1736</v>
      </c>
      <c r="C4" s="88">
        <v>1.14E-2</v>
      </c>
      <c r="D4" s="11">
        <f t="shared" ref="D4:D67" si="0">B4/C4</f>
        <v>15.228070175438596</v>
      </c>
    </row>
    <row r="5" spans="1:15" x14ac:dyDescent="0.2">
      <c r="A5" s="12">
        <v>-170</v>
      </c>
      <c r="B5" s="88">
        <v>0.34200000000000003</v>
      </c>
      <c r="C5" s="88">
        <v>4.5199999999999997E-2</v>
      </c>
      <c r="D5" s="11">
        <f t="shared" si="0"/>
        <v>7.5663716814159301</v>
      </c>
    </row>
    <row r="6" spans="1:15" x14ac:dyDescent="0.2">
      <c r="A6" s="12">
        <v>-165</v>
      </c>
      <c r="B6" s="88">
        <v>0.5</v>
      </c>
      <c r="C6" s="88">
        <v>0.10050000000000001</v>
      </c>
      <c r="D6" s="11">
        <f t="shared" si="0"/>
        <v>4.9751243781094523</v>
      </c>
    </row>
    <row r="7" spans="1:15" x14ac:dyDescent="0.2">
      <c r="A7" s="12">
        <v>-160</v>
      </c>
      <c r="B7" s="88">
        <v>0.64280000000000004</v>
      </c>
      <c r="C7" s="88">
        <v>0.17549999999999999</v>
      </c>
      <c r="D7" s="11">
        <f t="shared" si="0"/>
        <v>3.6626780626780633</v>
      </c>
    </row>
    <row r="8" spans="1:15" x14ac:dyDescent="0.2">
      <c r="A8" s="12">
        <v>-155</v>
      </c>
      <c r="B8" s="88">
        <v>0.76600000000000001</v>
      </c>
      <c r="C8" s="88">
        <v>0.26790000000000003</v>
      </c>
      <c r="D8" s="11">
        <f t="shared" si="0"/>
        <v>2.8592758491974615</v>
      </c>
      <c r="F8" s="1"/>
      <c r="G8" s="6"/>
      <c r="H8" s="6"/>
      <c r="I8" s="6"/>
    </row>
    <row r="9" spans="1:15" x14ac:dyDescent="0.2">
      <c r="A9" s="12">
        <v>-150</v>
      </c>
      <c r="B9" s="88">
        <v>0.86599999999999999</v>
      </c>
      <c r="C9" s="88">
        <v>0.375</v>
      </c>
      <c r="D9" s="11">
        <f t="shared" si="0"/>
        <v>2.3093333333333335</v>
      </c>
      <c r="F9" s="1"/>
      <c r="G9" s="6"/>
      <c r="H9" s="6"/>
      <c r="I9" s="6"/>
    </row>
    <row r="10" spans="1:15" x14ac:dyDescent="0.2">
      <c r="A10" s="12">
        <v>-145</v>
      </c>
      <c r="B10" s="88">
        <v>0.93969999999999998</v>
      </c>
      <c r="C10" s="88">
        <v>0.49349999999999999</v>
      </c>
      <c r="D10" s="11">
        <f t="shared" si="0"/>
        <v>1.9041540020263423</v>
      </c>
      <c r="F10" s="1"/>
      <c r="G10" s="6"/>
      <c r="H10" s="6"/>
      <c r="I10" s="6"/>
    </row>
    <row r="11" spans="1:15" x14ac:dyDescent="0.2">
      <c r="A11" s="12">
        <v>-140</v>
      </c>
      <c r="B11" s="88">
        <v>0.98480000000000001</v>
      </c>
      <c r="C11" s="88">
        <v>0.61970000000000003</v>
      </c>
      <c r="D11" s="11">
        <f t="shared" si="0"/>
        <v>1.5891560432467322</v>
      </c>
      <c r="F11" s="1"/>
      <c r="G11" s="6"/>
      <c r="H11" s="6"/>
      <c r="I11" s="6"/>
    </row>
    <row r="12" spans="1:15" x14ac:dyDescent="0.2">
      <c r="A12" s="12">
        <v>-135</v>
      </c>
      <c r="B12" s="88">
        <v>1</v>
      </c>
      <c r="C12" s="88">
        <v>0.75</v>
      </c>
      <c r="D12" s="11">
        <f t="shared" si="0"/>
        <v>1.3333333333333333</v>
      </c>
      <c r="F12" s="1"/>
      <c r="G12" s="6"/>
      <c r="H12" s="6"/>
      <c r="I12" s="6"/>
    </row>
    <row r="13" spans="1:15" x14ac:dyDescent="0.2">
      <c r="A13" s="12">
        <v>-130</v>
      </c>
      <c r="B13" s="88">
        <v>0.98480000000000001</v>
      </c>
      <c r="C13" s="88">
        <v>0.88029999999999997</v>
      </c>
      <c r="D13" s="11">
        <f t="shared" si="0"/>
        <v>1.1187095308417585</v>
      </c>
      <c r="F13" s="1"/>
      <c r="G13" s="6"/>
      <c r="H13" s="6"/>
      <c r="I13" s="6"/>
    </row>
    <row r="14" spans="1:15" x14ac:dyDescent="0.2">
      <c r="A14" s="12">
        <v>-125</v>
      </c>
      <c r="B14" s="88">
        <v>0.93969999999999998</v>
      </c>
      <c r="C14" s="88">
        <v>1.0065</v>
      </c>
      <c r="D14" s="11">
        <f t="shared" si="0"/>
        <v>0.93363139592647792</v>
      </c>
      <c r="F14" s="1"/>
      <c r="G14" s="6"/>
      <c r="H14" s="6"/>
      <c r="I14" s="6"/>
    </row>
    <row r="15" spans="1:15" x14ac:dyDescent="0.2">
      <c r="A15" s="12">
        <v>-120</v>
      </c>
      <c r="B15" s="88">
        <v>0.86599999999999999</v>
      </c>
      <c r="C15" s="88">
        <v>1.125</v>
      </c>
      <c r="D15" s="11">
        <f t="shared" si="0"/>
        <v>0.76977777777777778</v>
      </c>
      <c r="F15" s="1"/>
      <c r="G15" s="6"/>
      <c r="H15" s="6"/>
      <c r="I15" s="6"/>
    </row>
    <row r="16" spans="1:15" x14ac:dyDescent="0.2">
      <c r="A16" s="12">
        <v>-115</v>
      </c>
      <c r="B16" s="88">
        <v>0.76600000000000001</v>
      </c>
      <c r="C16" s="88">
        <v>1.2321</v>
      </c>
      <c r="D16" s="11">
        <f t="shared" si="0"/>
        <v>0.62170278386494604</v>
      </c>
      <c r="F16" s="1"/>
      <c r="G16" s="6"/>
      <c r="H16" s="6"/>
      <c r="I16" s="6"/>
    </row>
    <row r="17" spans="1:9" x14ac:dyDescent="0.2">
      <c r="A17" s="12">
        <v>-110</v>
      </c>
      <c r="B17" s="88">
        <v>0.64280000000000004</v>
      </c>
      <c r="C17" s="88">
        <v>1.3245</v>
      </c>
      <c r="D17" s="11">
        <f t="shared" si="0"/>
        <v>0.48531521328803323</v>
      </c>
      <c r="F17" s="1"/>
      <c r="G17" s="6"/>
      <c r="H17" s="6"/>
      <c r="I17" s="6"/>
    </row>
    <row r="18" spans="1:9" x14ac:dyDescent="0.2">
      <c r="A18" s="12">
        <v>-105</v>
      </c>
      <c r="B18" s="88">
        <v>0.5</v>
      </c>
      <c r="C18" s="88">
        <v>1.3995</v>
      </c>
      <c r="D18" s="11">
        <f t="shared" si="0"/>
        <v>0.35727045373347627</v>
      </c>
      <c r="F18" s="1"/>
      <c r="G18" s="6"/>
      <c r="H18" s="6"/>
      <c r="I18" s="6"/>
    </row>
    <row r="19" spans="1:9" x14ac:dyDescent="0.2">
      <c r="A19" s="12">
        <v>-100</v>
      </c>
      <c r="B19" s="88">
        <v>0.34200000000000003</v>
      </c>
      <c r="C19" s="88">
        <v>1.4548000000000001</v>
      </c>
      <c r="D19" s="11">
        <f t="shared" si="0"/>
        <v>0.23508386032444323</v>
      </c>
      <c r="F19" s="1"/>
      <c r="G19" s="6"/>
      <c r="H19" s="6"/>
      <c r="I19" s="6"/>
    </row>
    <row r="20" spans="1:9" x14ac:dyDescent="0.2">
      <c r="A20" s="12">
        <v>-95</v>
      </c>
      <c r="B20" s="88">
        <v>0.1736</v>
      </c>
      <c r="C20" s="88">
        <v>1.4885999999999999</v>
      </c>
      <c r="D20" s="11">
        <f t="shared" si="0"/>
        <v>0.11661964261722424</v>
      </c>
      <c r="F20" s="1"/>
      <c r="G20" s="6"/>
      <c r="H20" s="6"/>
      <c r="I20" s="6"/>
    </row>
    <row r="21" spans="1:9" x14ac:dyDescent="0.2">
      <c r="A21" s="12">
        <v>-90</v>
      </c>
      <c r="B21" s="88">
        <v>0</v>
      </c>
      <c r="C21" s="88">
        <v>1.5</v>
      </c>
      <c r="D21" s="11">
        <f t="shared" si="0"/>
        <v>0</v>
      </c>
      <c r="F21" s="1"/>
      <c r="G21" s="6"/>
      <c r="H21" s="6"/>
      <c r="I21" s="6"/>
    </row>
    <row r="22" spans="1:9" x14ac:dyDescent="0.2">
      <c r="A22" s="12">
        <v>-85</v>
      </c>
      <c r="B22" s="88">
        <v>-0.1736</v>
      </c>
      <c r="C22" s="88">
        <v>1.4885999999999999</v>
      </c>
      <c r="D22" s="11">
        <f t="shared" si="0"/>
        <v>-0.11661964261722424</v>
      </c>
      <c r="F22" s="1"/>
      <c r="G22" s="6"/>
      <c r="H22" s="6"/>
      <c r="I22" s="6"/>
    </row>
    <row r="23" spans="1:9" x14ac:dyDescent="0.2">
      <c r="A23" s="12">
        <v>-80</v>
      </c>
      <c r="B23" s="88">
        <v>-0.34200000000000003</v>
      </c>
      <c r="C23" s="88">
        <v>1.4548000000000001</v>
      </c>
      <c r="D23" s="11">
        <f t="shared" si="0"/>
        <v>-0.23508386032444323</v>
      </c>
      <c r="F23" s="1"/>
      <c r="G23" s="6"/>
      <c r="H23" s="6"/>
      <c r="I23" s="6"/>
    </row>
    <row r="24" spans="1:9" x14ac:dyDescent="0.2">
      <c r="A24" s="12">
        <v>-75</v>
      </c>
      <c r="B24" s="88">
        <v>-0.5</v>
      </c>
      <c r="C24" s="88">
        <v>1.3995</v>
      </c>
      <c r="D24" s="11">
        <f t="shared" si="0"/>
        <v>-0.35727045373347627</v>
      </c>
      <c r="F24" s="1"/>
      <c r="G24" s="6"/>
      <c r="H24" s="6"/>
      <c r="I24" s="6"/>
    </row>
    <row r="25" spans="1:9" x14ac:dyDescent="0.2">
      <c r="A25" s="12">
        <v>-70</v>
      </c>
      <c r="B25" s="88">
        <v>-0.64280000000000004</v>
      </c>
      <c r="C25" s="88">
        <v>1.3245</v>
      </c>
      <c r="D25" s="11">
        <f t="shared" si="0"/>
        <v>-0.48531521328803323</v>
      </c>
      <c r="F25" s="1"/>
      <c r="G25" s="6"/>
      <c r="H25" s="6"/>
      <c r="I25" s="6"/>
    </row>
    <row r="26" spans="1:9" x14ac:dyDescent="0.2">
      <c r="A26" s="12">
        <v>-65</v>
      </c>
      <c r="B26" s="88">
        <v>-0.76600000000000001</v>
      </c>
      <c r="C26" s="88">
        <v>1.2321</v>
      </c>
      <c r="D26" s="11">
        <f t="shared" si="0"/>
        <v>-0.62170278386494604</v>
      </c>
      <c r="F26" s="1"/>
      <c r="G26" s="6"/>
      <c r="H26" s="6"/>
      <c r="I26" s="6"/>
    </row>
    <row r="27" spans="1:9" x14ac:dyDescent="0.2">
      <c r="A27" s="12">
        <v>-60</v>
      </c>
      <c r="B27" s="88">
        <v>-0.86599999999999999</v>
      </c>
      <c r="C27" s="88">
        <v>1.125</v>
      </c>
      <c r="D27" s="11">
        <f t="shared" si="0"/>
        <v>-0.76977777777777778</v>
      </c>
      <c r="F27" s="1"/>
      <c r="G27" s="6"/>
      <c r="H27" s="6"/>
      <c r="I27" s="6"/>
    </row>
    <row r="28" spans="1:9" x14ac:dyDescent="0.2">
      <c r="A28" s="12">
        <v>-55</v>
      </c>
      <c r="B28" s="88">
        <v>-0.93969999999999998</v>
      </c>
      <c r="C28" s="88">
        <v>1.0065</v>
      </c>
      <c r="D28" s="11">
        <f t="shared" si="0"/>
        <v>-0.93363139592647792</v>
      </c>
      <c r="F28" s="1"/>
      <c r="G28" s="6"/>
      <c r="H28" s="6"/>
      <c r="I28" s="6"/>
    </row>
    <row r="29" spans="1:9" x14ac:dyDescent="0.2">
      <c r="A29" s="12">
        <v>-50</v>
      </c>
      <c r="B29" s="88">
        <v>-0.98480000000000001</v>
      </c>
      <c r="C29" s="88">
        <v>0.86029999999999995</v>
      </c>
      <c r="D29" s="11">
        <f t="shared" si="0"/>
        <v>-1.144716959200279</v>
      </c>
      <c r="F29" s="1"/>
      <c r="G29" s="6"/>
      <c r="H29" s="6"/>
      <c r="I29" s="6"/>
    </row>
    <row r="30" spans="1:9" x14ac:dyDescent="0.2">
      <c r="A30" s="12">
        <v>-45</v>
      </c>
      <c r="B30" s="88">
        <v>-1.012</v>
      </c>
      <c r="C30" s="88">
        <v>0.71199999999999997</v>
      </c>
      <c r="D30" s="11">
        <f t="shared" si="0"/>
        <v>-1.4213483146067416</v>
      </c>
      <c r="F30" s="1"/>
      <c r="G30" s="6"/>
      <c r="H30" s="6"/>
      <c r="I30" s="6"/>
    </row>
    <row r="31" spans="1:9" x14ac:dyDescent="0.2">
      <c r="A31" s="12">
        <v>-40</v>
      </c>
      <c r="B31" s="88">
        <v>-1.0376000000000001</v>
      </c>
      <c r="C31" s="88">
        <v>0.54749999999999999</v>
      </c>
      <c r="D31" s="11">
        <f t="shared" si="0"/>
        <v>-1.8951598173515984</v>
      </c>
      <c r="F31" s="1"/>
      <c r="G31" s="6"/>
      <c r="H31" s="6"/>
      <c r="I31" s="6"/>
    </row>
    <row r="32" spans="1:9" x14ac:dyDescent="0.2">
      <c r="A32" s="12">
        <v>-39</v>
      </c>
      <c r="B32" s="88">
        <v>-1.0419</v>
      </c>
      <c r="C32" s="88">
        <v>0.51649999999999996</v>
      </c>
      <c r="D32" s="11">
        <f t="shared" si="0"/>
        <v>-2.0172313649564377</v>
      </c>
      <c r="F32" s="1"/>
      <c r="G32" s="6"/>
      <c r="H32" s="6"/>
      <c r="I32" s="6"/>
    </row>
    <row r="33" spans="1:9" x14ac:dyDescent="0.2">
      <c r="A33" s="12">
        <v>-38</v>
      </c>
      <c r="B33" s="88">
        <v>-1.0462</v>
      </c>
      <c r="C33" s="88">
        <v>0.48159999999999997</v>
      </c>
      <c r="D33" s="11">
        <f t="shared" si="0"/>
        <v>-2.1723421926910302</v>
      </c>
      <c r="F33" s="1"/>
      <c r="G33" s="6"/>
      <c r="H33" s="6"/>
      <c r="I33" s="6"/>
    </row>
    <row r="34" spans="1:9" x14ac:dyDescent="0.2">
      <c r="A34" s="12">
        <v>-37</v>
      </c>
      <c r="B34" s="88">
        <v>-1.0525</v>
      </c>
      <c r="C34" s="88">
        <v>0.44869999999999999</v>
      </c>
      <c r="D34" s="11">
        <f t="shared" si="0"/>
        <v>-2.3456652551816357</v>
      </c>
      <c r="F34" s="1"/>
      <c r="G34" s="6"/>
      <c r="H34" s="6"/>
      <c r="I34" s="6"/>
    </row>
    <row r="35" spans="1:9" x14ac:dyDescent="0.2">
      <c r="A35" s="12">
        <v>-36</v>
      </c>
      <c r="B35" s="88">
        <v>-1.0568</v>
      </c>
      <c r="C35" s="88">
        <v>0.41770000000000002</v>
      </c>
      <c r="D35" s="11">
        <f t="shared" si="0"/>
        <v>-2.5300454871917641</v>
      </c>
      <c r="F35" s="1"/>
      <c r="G35" s="6"/>
      <c r="H35" s="6"/>
      <c r="I35" s="6"/>
    </row>
    <row r="36" spans="1:9" x14ac:dyDescent="0.2">
      <c r="A36" s="12">
        <v>-35</v>
      </c>
      <c r="B36" s="88">
        <v>-1.0610999999999999</v>
      </c>
      <c r="C36" s="88">
        <v>0.38479999999999998</v>
      </c>
      <c r="D36" s="11">
        <f t="shared" si="0"/>
        <v>-2.7575363825363826</v>
      </c>
      <c r="F36" s="1"/>
      <c r="G36" s="6"/>
      <c r="H36" s="6"/>
      <c r="I36" s="6"/>
    </row>
    <row r="37" spans="1:9" x14ac:dyDescent="0.2">
      <c r="A37" s="12">
        <v>-34</v>
      </c>
      <c r="B37" s="88">
        <v>-1.0653999999999999</v>
      </c>
      <c r="C37" s="88">
        <v>0.35580000000000001</v>
      </c>
      <c r="D37" s="11">
        <f t="shared" si="0"/>
        <v>-2.9943788645306348</v>
      </c>
      <c r="F37" s="1"/>
      <c r="G37" s="6"/>
      <c r="H37" s="6"/>
      <c r="I37" s="6"/>
    </row>
    <row r="38" spans="1:9" x14ac:dyDescent="0.2">
      <c r="A38" s="12">
        <v>-33</v>
      </c>
      <c r="B38" s="88">
        <v>-1.0717000000000001</v>
      </c>
      <c r="C38" s="88">
        <v>0.32890000000000003</v>
      </c>
      <c r="D38" s="11">
        <f t="shared" si="0"/>
        <v>-3.258437214958954</v>
      </c>
      <c r="F38" s="1"/>
      <c r="G38" s="6"/>
      <c r="H38" s="6"/>
      <c r="I38" s="6"/>
    </row>
    <row r="39" spans="1:9" x14ac:dyDescent="0.2">
      <c r="A39" s="12">
        <v>-32</v>
      </c>
      <c r="B39" s="88">
        <v>-1.0765</v>
      </c>
      <c r="C39" s="88">
        <v>0.30309999999999998</v>
      </c>
      <c r="D39" s="11">
        <f t="shared" si="0"/>
        <v>-3.5516331243813926</v>
      </c>
      <c r="F39" s="1"/>
      <c r="G39" s="6"/>
      <c r="H39" s="6"/>
      <c r="I39" s="6"/>
    </row>
    <row r="40" spans="1:9" x14ac:dyDescent="0.2">
      <c r="A40" s="12">
        <v>-30</v>
      </c>
      <c r="B40" s="88">
        <v>-1.0889</v>
      </c>
      <c r="C40" s="88">
        <v>0.25600000000000001</v>
      </c>
      <c r="D40" s="11">
        <f t="shared" si="0"/>
        <v>-4.2535156249999995</v>
      </c>
      <c r="F40" s="1"/>
      <c r="G40" s="6"/>
      <c r="H40" s="6"/>
      <c r="I40" s="6"/>
    </row>
    <row r="41" spans="1:9" x14ac:dyDescent="0.2">
      <c r="A41" s="12">
        <v>-28</v>
      </c>
      <c r="B41" s="88">
        <v>-1.0992999999999999</v>
      </c>
      <c r="C41" s="88">
        <v>0.20899999999999999</v>
      </c>
      <c r="D41" s="11">
        <f t="shared" si="0"/>
        <v>-5.2598086124401915</v>
      </c>
    </row>
    <row r="42" spans="1:9" x14ac:dyDescent="0.2">
      <c r="A42" s="12">
        <v>-26</v>
      </c>
      <c r="B42" s="88">
        <v>-1.1168</v>
      </c>
      <c r="C42" s="88">
        <v>0.17560000000000001</v>
      </c>
      <c r="D42" s="11">
        <f t="shared" si="0"/>
        <v>-6.3599088838268791</v>
      </c>
    </row>
    <row r="43" spans="1:9" x14ac:dyDescent="0.2">
      <c r="A43" s="12">
        <v>-24</v>
      </c>
      <c r="B43" s="88">
        <v>-1.1282000000000001</v>
      </c>
      <c r="C43" s="88">
        <v>0.14230000000000001</v>
      </c>
      <c r="D43" s="11">
        <f t="shared" si="0"/>
        <v>-7.9283204497540405</v>
      </c>
    </row>
    <row r="44" spans="1:9" x14ac:dyDescent="0.2">
      <c r="A44" s="12">
        <v>-22</v>
      </c>
      <c r="B44" s="88">
        <v>-1.1214999999999999</v>
      </c>
      <c r="C44" s="88">
        <v>0.1183</v>
      </c>
      <c r="D44" s="11">
        <f t="shared" si="0"/>
        <v>-9.4801352493660183</v>
      </c>
    </row>
    <row r="45" spans="1:9" x14ac:dyDescent="0.2">
      <c r="A45" s="12">
        <v>-20</v>
      </c>
      <c r="B45" s="88">
        <v>-1.1148</v>
      </c>
      <c r="C45" s="88">
        <v>9.4299999999999995E-2</v>
      </c>
      <c r="D45" s="11">
        <f t="shared" si="0"/>
        <v>-11.82184517497349</v>
      </c>
    </row>
    <row r="46" spans="1:9" x14ac:dyDescent="0.2">
      <c r="A46" s="12">
        <v>-18</v>
      </c>
      <c r="B46" s="88">
        <v>-1.0919000000000001</v>
      </c>
      <c r="C46" s="88">
        <v>7.6499999999999999E-2</v>
      </c>
      <c r="D46" s="11">
        <f t="shared" si="0"/>
        <v>-14.273202614379086</v>
      </c>
    </row>
    <row r="47" spans="1:9" x14ac:dyDescent="0.2">
      <c r="A47" s="12">
        <v>-16</v>
      </c>
      <c r="B47" s="88">
        <v>-1.0690999999999999</v>
      </c>
      <c r="C47" s="88">
        <v>5.8700000000000002E-2</v>
      </c>
      <c r="D47" s="11">
        <f t="shared" si="0"/>
        <v>-18.212947189097104</v>
      </c>
    </row>
    <row r="48" spans="1:9" x14ac:dyDescent="0.2">
      <c r="A48" s="12">
        <v>-14</v>
      </c>
      <c r="B48" s="88">
        <v>-1.0379</v>
      </c>
      <c r="C48" s="88">
        <v>4.5400000000000003E-2</v>
      </c>
      <c r="D48" s="11">
        <f t="shared" si="0"/>
        <v>-22.86123348017621</v>
      </c>
    </row>
    <row r="49" spans="1:4" x14ac:dyDescent="0.2">
      <c r="A49" s="12">
        <v>-12</v>
      </c>
      <c r="B49" s="88">
        <v>-1.0066999999999999</v>
      </c>
      <c r="C49" s="88">
        <v>3.2099999999999997E-2</v>
      </c>
      <c r="D49" s="11">
        <f t="shared" si="0"/>
        <v>-31.361370716510905</v>
      </c>
    </row>
    <row r="50" spans="1:4" x14ac:dyDescent="0.2">
      <c r="A50" s="12">
        <v>-10</v>
      </c>
      <c r="B50" s="88">
        <v>-0.84789999999999999</v>
      </c>
      <c r="C50" s="88">
        <v>2.3E-2</v>
      </c>
      <c r="D50" s="11">
        <f t="shared" si="0"/>
        <v>-36.865217391304348</v>
      </c>
    </row>
    <row r="51" spans="1:4" x14ac:dyDescent="0.2">
      <c r="A51" s="12">
        <v>-8</v>
      </c>
      <c r="B51" s="88">
        <v>-0.68920000000000003</v>
      </c>
      <c r="C51" s="88">
        <v>1.38E-2</v>
      </c>
      <c r="D51" s="11">
        <f t="shared" si="0"/>
        <v>-49.94202898550725</v>
      </c>
    </row>
    <row r="52" spans="1:4" x14ac:dyDescent="0.2">
      <c r="A52" s="12">
        <v>-6</v>
      </c>
      <c r="B52" s="88">
        <v>-0.42780000000000001</v>
      </c>
      <c r="C52" s="88">
        <v>1.18E-2</v>
      </c>
      <c r="D52" s="11">
        <f t="shared" si="0"/>
        <v>-36.254237288135599</v>
      </c>
    </row>
    <row r="53" spans="1:4" x14ac:dyDescent="0.2">
      <c r="A53" s="12">
        <v>-4</v>
      </c>
      <c r="B53" s="88">
        <v>-0.16650000000000001</v>
      </c>
      <c r="C53" s="88">
        <v>9.7999999999999997E-3</v>
      </c>
      <c r="D53" s="11">
        <f t="shared" si="0"/>
        <v>-16.989795918367349</v>
      </c>
    </row>
    <row r="54" spans="1:4" x14ac:dyDescent="0.2">
      <c r="A54" s="12">
        <v>-2</v>
      </c>
      <c r="B54" s="88">
        <v>8.6300000000000002E-2</v>
      </c>
      <c r="C54" s="88">
        <v>9.4999999999999998E-3</v>
      </c>
      <c r="D54" s="11">
        <f t="shared" si="0"/>
        <v>9.0842105263157897</v>
      </c>
    </row>
    <row r="55" spans="1:4" x14ac:dyDescent="0.2">
      <c r="A55" s="12">
        <v>0</v>
      </c>
      <c r="B55" s="88">
        <v>0.33910000000000001</v>
      </c>
      <c r="C55" s="88">
        <v>9.1999999999999998E-3</v>
      </c>
      <c r="D55" s="11">
        <f t="shared" si="0"/>
        <v>36.858695652173914</v>
      </c>
    </row>
    <row r="56" spans="1:4" x14ac:dyDescent="0.2">
      <c r="A56" s="12">
        <v>2</v>
      </c>
      <c r="B56" s="88">
        <v>0.5867</v>
      </c>
      <c r="C56" s="88">
        <v>9.4000000000000004E-3</v>
      </c>
      <c r="D56" s="11">
        <f t="shared" si="0"/>
        <v>62.414893617021271</v>
      </c>
    </row>
    <row r="57" spans="1:4" x14ac:dyDescent="0.2">
      <c r="A57" s="12">
        <v>4</v>
      </c>
      <c r="B57" s="88">
        <v>0.83009999999999995</v>
      </c>
      <c r="C57" s="88">
        <v>9.9000000000000008E-3</v>
      </c>
      <c r="D57" s="11">
        <f t="shared" si="0"/>
        <v>83.84848484848483</v>
      </c>
    </row>
    <row r="58" spans="1:4" x14ac:dyDescent="0.2">
      <c r="A58" s="12">
        <v>6</v>
      </c>
      <c r="B58" s="88">
        <v>1.0656000000000001</v>
      </c>
      <c r="C58" s="88">
        <v>1.09E-2</v>
      </c>
      <c r="D58" s="11">
        <f t="shared" si="0"/>
        <v>97.761467889908261</v>
      </c>
    </row>
    <row r="59" spans="1:4" x14ac:dyDescent="0.2">
      <c r="A59" s="12">
        <v>8</v>
      </c>
      <c r="B59" s="88">
        <v>1.2914000000000001</v>
      </c>
      <c r="C59" s="88">
        <v>1.24E-2</v>
      </c>
      <c r="D59" s="11">
        <f t="shared" si="0"/>
        <v>104.14516129032259</v>
      </c>
    </row>
    <row r="60" spans="1:4" x14ac:dyDescent="0.2">
      <c r="A60" s="12">
        <v>10</v>
      </c>
      <c r="B60" s="88">
        <v>1.5012000000000001</v>
      </c>
      <c r="C60" s="88">
        <v>1.44E-2</v>
      </c>
      <c r="D60" s="11">
        <f t="shared" si="0"/>
        <v>104.25000000000001</v>
      </c>
    </row>
    <row r="61" spans="1:4" x14ac:dyDescent="0.2">
      <c r="A61" s="12">
        <v>12</v>
      </c>
      <c r="B61" s="88">
        <v>1.6886000000000001</v>
      </c>
      <c r="C61" s="88">
        <v>1.7299999999999999E-2</v>
      </c>
      <c r="D61" s="11">
        <f t="shared" si="0"/>
        <v>97.606936416184979</v>
      </c>
    </row>
    <row r="62" spans="1:4" x14ac:dyDescent="0.2">
      <c r="A62" s="12">
        <v>14</v>
      </c>
      <c r="B62" s="88">
        <v>1.8103</v>
      </c>
      <c r="C62" s="88">
        <v>2.2599999999999999E-2</v>
      </c>
      <c r="D62" s="11">
        <f t="shared" si="0"/>
        <v>80.101769911504434</v>
      </c>
    </row>
    <row r="63" spans="1:4" x14ac:dyDescent="0.2">
      <c r="A63" s="12">
        <v>16</v>
      </c>
      <c r="B63" s="88">
        <v>1.8139000000000001</v>
      </c>
      <c r="C63" s="88">
        <v>3.5400000000000001E-2</v>
      </c>
      <c r="D63" s="11">
        <f t="shared" si="0"/>
        <v>51.240112994350284</v>
      </c>
    </row>
    <row r="64" spans="1:4" x14ac:dyDescent="0.2">
      <c r="A64" s="12">
        <v>18</v>
      </c>
      <c r="B64" s="88">
        <v>1.7544999999999999</v>
      </c>
      <c r="C64" s="88">
        <v>6.4699999999999994E-2</v>
      </c>
      <c r="D64" s="11">
        <f t="shared" si="0"/>
        <v>27.117465224111285</v>
      </c>
    </row>
    <row r="65" spans="1:4" x14ac:dyDescent="0.2">
      <c r="A65" s="12">
        <v>20</v>
      </c>
      <c r="B65" s="88">
        <v>1.6071</v>
      </c>
      <c r="C65" s="88">
        <v>0.10349999999999999</v>
      </c>
      <c r="D65" s="11">
        <f t="shared" si="0"/>
        <v>15.527536231884058</v>
      </c>
    </row>
    <row r="66" spans="1:4" x14ac:dyDescent="0.2">
      <c r="A66" s="12">
        <v>22</v>
      </c>
      <c r="B66" s="88">
        <v>1.5257000000000001</v>
      </c>
      <c r="C66" s="88">
        <v>0.14369999999999999</v>
      </c>
      <c r="D66" s="11">
        <f t="shared" si="0"/>
        <v>10.617258176757133</v>
      </c>
    </row>
    <row r="67" spans="1:4" x14ac:dyDescent="0.2">
      <c r="A67" s="12">
        <v>24</v>
      </c>
      <c r="B67" s="88">
        <v>1.4428000000000001</v>
      </c>
      <c r="C67" s="88">
        <v>0.18410000000000001</v>
      </c>
      <c r="D67" s="11">
        <f t="shared" si="0"/>
        <v>7.837045084193373</v>
      </c>
    </row>
    <row r="68" spans="1:4" x14ac:dyDescent="0.2">
      <c r="A68" s="12">
        <v>26</v>
      </c>
      <c r="B68" s="88">
        <v>1.3826000000000001</v>
      </c>
      <c r="C68" s="88">
        <v>0.22900000000000001</v>
      </c>
      <c r="D68" s="11">
        <f t="shared" ref="D68:D106" si="1">B68/C68</f>
        <v>6.0375545851528383</v>
      </c>
    </row>
    <row r="69" spans="1:4" x14ac:dyDescent="0.2">
      <c r="A69" s="12">
        <v>28</v>
      </c>
      <c r="B69" s="88">
        <v>1.3218000000000001</v>
      </c>
      <c r="C69" s="88">
        <v>0.27379999999999999</v>
      </c>
      <c r="D69" s="11">
        <f t="shared" si="1"/>
        <v>4.8276113951789634</v>
      </c>
    </row>
    <row r="70" spans="1:4" x14ac:dyDescent="0.2">
      <c r="A70" s="12">
        <v>30</v>
      </c>
      <c r="B70" s="88">
        <v>1.2583</v>
      </c>
      <c r="C70" s="88">
        <v>0.32779999999999998</v>
      </c>
      <c r="D70" s="11">
        <f t="shared" si="1"/>
        <v>3.8386211104331913</v>
      </c>
    </row>
    <row r="71" spans="1:4" x14ac:dyDescent="0.2">
      <c r="A71" s="12">
        <v>32</v>
      </c>
      <c r="B71" s="88">
        <v>1.1943999999999999</v>
      </c>
      <c r="C71" s="88">
        <v>0.38159999999999999</v>
      </c>
      <c r="D71" s="11">
        <f t="shared" si="1"/>
        <v>3.1299790356394128</v>
      </c>
    </row>
    <row r="72" spans="1:4" x14ac:dyDescent="0.2">
      <c r="A72" s="12">
        <v>33</v>
      </c>
      <c r="B72" s="88">
        <v>1.1734</v>
      </c>
      <c r="C72" s="88">
        <v>0.4209</v>
      </c>
      <c r="D72" s="11">
        <f t="shared" si="1"/>
        <v>2.7878355904015204</v>
      </c>
    </row>
    <row r="73" spans="1:4" x14ac:dyDescent="0.2">
      <c r="A73" s="12">
        <v>34</v>
      </c>
      <c r="B73" s="88">
        <v>1.1568000000000001</v>
      </c>
      <c r="C73" s="88">
        <v>0.45040000000000002</v>
      </c>
      <c r="D73" s="11">
        <f t="shared" si="1"/>
        <v>2.5683836589698048</v>
      </c>
    </row>
    <row r="74" spans="1:4" x14ac:dyDescent="0.2">
      <c r="A74" s="12">
        <v>35</v>
      </c>
      <c r="B74" s="88">
        <v>1.1378999999999999</v>
      </c>
      <c r="C74" s="88">
        <v>0.48149999999999998</v>
      </c>
      <c r="D74" s="11">
        <f t="shared" si="1"/>
        <v>2.3632398753894082</v>
      </c>
    </row>
    <row r="75" spans="1:4" x14ac:dyDescent="0.2">
      <c r="A75" s="12">
        <v>36</v>
      </c>
      <c r="B75" s="88">
        <v>1.1248</v>
      </c>
      <c r="C75" s="88">
        <v>0.51049999999999995</v>
      </c>
      <c r="D75" s="11">
        <f t="shared" si="1"/>
        <v>2.2033300685602355</v>
      </c>
    </row>
    <row r="76" spans="1:4" x14ac:dyDescent="0.2">
      <c r="A76" s="12">
        <v>37</v>
      </c>
      <c r="B76" s="88">
        <v>1.1176999999999999</v>
      </c>
      <c r="C76" s="88">
        <v>0.54500000000000004</v>
      </c>
      <c r="D76" s="11">
        <f t="shared" si="1"/>
        <v>2.0508256880733944</v>
      </c>
    </row>
    <row r="77" spans="1:4" x14ac:dyDescent="0.2">
      <c r="A77" s="12">
        <v>38</v>
      </c>
      <c r="B77" s="88">
        <v>1.1024</v>
      </c>
      <c r="C77" s="88">
        <v>0.57369999999999999</v>
      </c>
      <c r="D77" s="11">
        <f t="shared" si="1"/>
        <v>1.9215617918772878</v>
      </c>
    </row>
    <row r="78" spans="1:4" x14ac:dyDescent="0.2">
      <c r="A78" s="12">
        <v>39</v>
      </c>
      <c r="B78" s="88">
        <v>1.0891</v>
      </c>
      <c r="C78" s="88">
        <v>0.59989999999999999</v>
      </c>
      <c r="D78" s="11">
        <f t="shared" si="1"/>
        <v>1.8154692448741456</v>
      </c>
    </row>
    <row r="79" spans="1:4" x14ac:dyDescent="0.2">
      <c r="A79" s="12">
        <v>40</v>
      </c>
      <c r="B79" s="88">
        <v>1.0754999999999999</v>
      </c>
      <c r="C79" s="88">
        <v>0.628</v>
      </c>
      <c r="D79" s="11">
        <f t="shared" si="1"/>
        <v>1.7125796178343948</v>
      </c>
    </row>
    <row r="80" spans="1:4" x14ac:dyDescent="0.2">
      <c r="A80" s="12">
        <v>45</v>
      </c>
      <c r="B80" s="88">
        <v>1.0175000000000001</v>
      </c>
      <c r="C80" s="88">
        <v>0.75780000000000003</v>
      </c>
      <c r="D80" s="11">
        <f t="shared" si="1"/>
        <v>1.3427025600422275</v>
      </c>
    </row>
    <row r="81" spans="1:4" x14ac:dyDescent="0.2">
      <c r="A81" s="12">
        <v>50</v>
      </c>
      <c r="B81" s="88">
        <v>0.97160000000000002</v>
      </c>
      <c r="C81" s="88">
        <v>0.88200000000000001</v>
      </c>
      <c r="D81" s="11">
        <f t="shared" si="1"/>
        <v>1.1015873015873017</v>
      </c>
    </row>
    <row r="82" spans="1:4" x14ac:dyDescent="0.2">
      <c r="A82" s="12">
        <v>55</v>
      </c>
      <c r="B82" s="88">
        <v>0.92679999999999996</v>
      </c>
      <c r="C82" s="88">
        <v>1.0104</v>
      </c>
      <c r="D82" s="11">
        <f t="shared" si="1"/>
        <v>0.91726049089469519</v>
      </c>
    </row>
    <row r="83" spans="1:4" x14ac:dyDescent="0.2">
      <c r="A83" s="12">
        <v>60</v>
      </c>
      <c r="B83" s="88">
        <v>0.86599999999999999</v>
      </c>
      <c r="C83" s="88">
        <v>1.125</v>
      </c>
      <c r="D83" s="11">
        <f t="shared" si="1"/>
        <v>0.76977777777777778</v>
      </c>
    </row>
    <row r="84" spans="1:4" x14ac:dyDescent="0.2">
      <c r="A84" s="12">
        <v>65</v>
      </c>
      <c r="B84" s="88">
        <v>0.76600000000000001</v>
      </c>
      <c r="C84" s="88">
        <v>1.2321</v>
      </c>
      <c r="D84" s="11">
        <f t="shared" si="1"/>
        <v>0.62170278386494604</v>
      </c>
    </row>
    <row r="85" spans="1:4" x14ac:dyDescent="0.2">
      <c r="A85" s="12">
        <v>70</v>
      </c>
      <c r="B85" s="88">
        <v>0.64280000000000004</v>
      </c>
      <c r="C85" s="88">
        <v>1.3245</v>
      </c>
      <c r="D85" s="11">
        <f t="shared" si="1"/>
        <v>0.48531521328803323</v>
      </c>
    </row>
    <row r="86" spans="1:4" x14ac:dyDescent="0.2">
      <c r="A86" s="12">
        <v>75</v>
      </c>
      <c r="B86" s="88">
        <v>0.5</v>
      </c>
      <c r="C86" s="88">
        <v>1.3995</v>
      </c>
      <c r="D86" s="11">
        <f t="shared" si="1"/>
        <v>0.35727045373347627</v>
      </c>
    </row>
    <row r="87" spans="1:4" x14ac:dyDescent="0.2">
      <c r="A87" s="12">
        <v>80</v>
      </c>
      <c r="B87" s="88">
        <v>0.34200000000000003</v>
      </c>
      <c r="C87" s="88">
        <v>1.4548000000000001</v>
      </c>
      <c r="D87" s="11">
        <f t="shared" si="1"/>
        <v>0.23508386032444323</v>
      </c>
    </row>
    <row r="88" spans="1:4" x14ac:dyDescent="0.2">
      <c r="A88" s="12">
        <v>85</v>
      </c>
      <c r="B88" s="88">
        <v>0.1736</v>
      </c>
      <c r="C88" s="88">
        <v>1.4885999999999999</v>
      </c>
      <c r="D88" s="11">
        <f t="shared" si="1"/>
        <v>0.11661964261722424</v>
      </c>
    </row>
    <row r="89" spans="1:4" x14ac:dyDescent="0.2">
      <c r="A89" s="12">
        <v>90</v>
      </c>
      <c r="B89" s="88">
        <v>0</v>
      </c>
      <c r="C89" s="88">
        <v>1.5</v>
      </c>
      <c r="D89" s="11">
        <f t="shared" si="1"/>
        <v>0</v>
      </c>
    </row>
    <row r="90" spans="1:4" x14ac:dyDescent="0.2">
      <c r="A90" s="12">
        <v>95</v>
      </c>
      <c r="B90" s="88">
        <v>-0.1736</v>
      </c>
      <c r="C90" s="88">
        <v>1.4885999999999999</v>
      </c>
      <c r="D90" s="11">
        <f t="shared" si="1"/>
        <v>-0.11661964261722424</v>
      </c>
    </row>
    <row r="91" spans="1:4" x14ac:dyDescent="0.2">
      <c r="A91" s="12">
        <v>100</v>
      </c>
      <c r="B91" s="88">
        <v>-0.34200000000000003</v>
      </c>
      <c r="C91" s="88">
        <v>1.4548000000000001</v>
      </c>
      <c r="D91" s="11">
        <f t="shared" si="1"/>
        <v>-0.23508386032444323</v>
      </c>
    </row>
    <row r="92" spans="1:4" x14ac:dyDescent="0.2">
      <c r="A92" s="12">
        <v>105</v>
      </c>
      <c r="B92" s="88">
        <v>-0.5</v>
      </c>
      <c r="C92" s="88">
        <v>1.3995</v>
      </c>
      <c r="D92" s="11">
        <f t="shared" si="1"/>
        <v>-0.35727045373347627</v>
      </c>
    </row>
    <row r="93" spans="1:4" x14ac:dyDescent="0.2">
      <c r="A93" s="12">
        <v>110</v>
      </c>
      <c r="B93" s="88">
        <v>-0.64280000000000004</v>
      </c>
      <c r="C93" s="88">
        <v>1.3245</v>
      </c>
      <c r="D93" s="11">
        <f t="shared" si="1"/>
        <v>-0.48531521328803323</v>
      </c>
    </row>
    <row r="94" spans="1:4" x14ac:dyDescent="0.2">
      <c r="A94" s="12">
        <v>115</v>
      </c>
      <c r="B94" s="88">
        <v>-0.76600000000000001</v>
      </c>
      <c r="C94" s="88">
        <v>1.2321</v>
      </c>
      <c r="D94" s="11">
        <f t="shared" si="1"/>
        <v>-0.62170278386494604</v>
      </c>
    </row>
    <row r="95" spans="1:4" x14ac:dyDescent="0.2">
      <c r="A95" s="12">
        <v>120</v>
      </c>
      <c r="B95" s="88">
        <v>-0.86599999999999999</v>
      </c>
      <c r="C95" s="88">
        <v>1.125</v>
      </c>
      <c r="D95" s="11">
        <f t="shared" si="1"/>
        <v>-0.76977777777777778</v>
      </c>
    </row>
    <row r="96" spans="1:4" x14ac:dyDescent="0.2">
      <c r="A96" s="12">
        <v>125</v>
      </c>
      <c r="B96" s="88">
        <v>-0.93969999999999998</v>
      </c>
      <c r="C96" s="88">
        <v>1.0065</v>
      </c>
      <c r="D96" s="11">
        <f t="shared" si="1"/>
        <v>-0.93363139592647792</v>
      </c>
    </row>
    <row r="97" spans="1:4" x14ac:dyDescent="0.2">
      <c r="A97" s="12">
        <v>130</v>
      </c>
      <c r="B97" s="88">
        <v>-0.98480000000000001</v>
      </c>
      <c r="C97" s="88">
        <v>0.88029999999999997</v>
      </c>
      <c r="D97" s="11">
        <f t="shared" si="1"/>
        <v>-1.1187095308417585</v>
      </c>
    </row>
    <row r="98" spans="1:4" x14ac:dyDescent="0.2">
      <c r="A98" s="12">
        <v>135</v>
      </c>
      <c r="B98" s="88">
        <v>-1</v>
      </c>
      <c r="C98" s="88">
        <v>0.75</v>
      </c>
      <c r="D98" s="11">
        <f t="shared" si="1"/>
        <v>-1.3333333333333333</v>
      </c>
    </row>
    <row r="99" spans="1:4" x14ac:dyDescent="0.2">
      <c r="A99" s="12">
        <v>140</v>
      </c>
      <c r="B99" s="88">
        <v>-0.98480000000000001</v>
      </c>
      <c r="C99" s="88">
        <v>0.61970000000000003</v>
      </c>
      <c r="D99" s="11">
        <f t="shared" si="1"/>
        <v>-1.5891560432467322</v>
      </c>
    </row>
    <row r="100" spans="1:4" x14ac:dyDescent="0.2">
      <c r="A100" s="12">
        <v>145</v>
      </c>
      <c r="B100" s="88">
        <v>-0.93969999999999998</v>
      </c>
      <c r="C100" s="88">
        <v>0.49349999999999999</v>
      </c>
      <c r="D100" s="11">
        <f t="shared" si="1"/>
        <v>-1.9041540020263423</v>
      </c>
    </row>
    <row r="101" spans="1:4" x14ac:dyDescent="0.2">
      <c r="A101" s="12">
        <v>150</v>
      </c>
      <c r="B101" s="88">
        <v>-0.86599999999999999</v>
      </c>
      <c r="C101" s="88">
        <v>0.375</v>
      </c>
      <c r="D101" s="11">
        <f t="shared" si="1"/>
        <v>-2.3093333333333335</v>
      </c>
    </row>
    <row r="102" spans="1:4" x14ac:dyDescent="0.2">
      <c r="A102" s="12">
        <v>155</v>
      </c>
      <c r="B102" s="88">
        <v>-0.76600000000000001</v>
      </c>
      <c r="C102" s="88">
        <v>0.26790000000000003</v>
      </c>
      <c r="D102" s="11">
        <f t="shared" si="1"/>
        <v>-2.8592758491974615</v>
      </c>
    </row>
    <row r="103" spans="1:4" x14ac:dyDescent="0.2">
      <c r="A103" s="12">
        <v>160</v>
      </c>
      <c r="B103" s="88">
        <v>-0.64280000000000004</v>
      </c>
      <c r="C103" s="88">
        <v>0.17549999999999999</v>
      </c>
      <c r="D103" s="11">
        <f t="shared" si="1"/>
        <v>-3.6626780626780633</v>
      </c>
    </row>
    <row r="104" spans="1:4" x14ac:dyDescent="0.2">
      <c r="A104" s="12">
        <v>165</v>
      </c>
      <c r="B104" s="88">
        <v>-0.5</v>
      </c>
      <c r="C104" s="88">
        <v>0.10050000000000001</v>
      </c>
      <c r="D104" s="11">
        <f t="shared" si="1"/>
        <v>-4.9751243781094523</v>
      </c>
    </row>
    <row r="105" spans="1:4" x14ac:dyDescent="0.2">
      <c r="A105" s="12">
        <v>170</v>
      </c>
      <c r="B105" s="88">
        <v>-0.34200000000000003</v>
      </c>
      <c r="C105" s="88">
        <v>4.5199999999999997E-2</v>
      </c>
      <c r="D105" s="11">
        <f t="shared" si="1"/>
        <v>-7.5663716814159301</v>
      </c>
    </row>
    <row r="106" spans="1:4" x14ac:dyDescent="0.2">
      <c r="A106" s="12">
        <v>175</v>
      </c>
      <c r="B106" s="88">
        <v>-0.1736</v>
      </c>
      <c r="C106" s="88">
        <v>1.14E-2</v>
      </c>
      <c r="D106" s="11">
        <f t="shared" si="1"/>
        <v>-15.228070175438596</v>
      </c>
    </row>
    <row r="107" spans="1:4" x14ac:dyDescent="0.2">
      <c r="A107" s="12">
        <v>180</v>
      </c>
      <c r="B107" s="88">
        <v>0</v>
      </c>
      <c r="C107" s="88">
        <v>0</v>
      </c>
      <c r="D107" s="11">
        <v>0</v>
      </c>
    </row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8385C-3BB3-48CA-B3B0-60D4B5B595C4}">
  <sheetPr codeName="Sheet4"/>
  <dimension ref="A1:AE55"/>
  <sheetViews>
    <sheetView zoomScale="111" zoomScaleNormal="100" workbookViewId="0">
      <selection activeCell="H21" sqref="H21"/>
    </sheetView>
  </sheetViews>
  <sheetFormatPr baseColWidth="10" defaultColWidth="12.6640625" defaultRowHeight="24" customHeight="1" x14ac:dyDescent="0.2"/>
  <cols>
    <col min="1" max="7" width="12.6640625" style="16"/>
    <col min="8" max="8" width="12.6640625" style="16" customWidth="1"/>
    <col min="9" max="16384" width="12.6640625" style="16"/>
  </cols>
  <sheetData>
    <row r="1" spans="1:31" ht="24" customHeight="1" x14ac:dyDescent="0.2">
      <c r="A1" s="9" t="s">
        <v>11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3" spans="1:31" ht="24" customHeight="1" x14ac:dyDescent="0.2">
      <c r="A3" s="95" t="s">
        <v>12</v>
      </c>
      <c r="B3" s="96"/>
      <c r="C3" s="97"/>
      <c r="D3" s="65" t="s">
        <v>67</v>
      </c>
      <c r="G3" s="109" t="s">
        <v>35</v>
      </c>
      <c r="H3" s="110"/>
      <c r="I3" s="111"/>
    </row>
    <row r="4" spans="1:31" ht="24" customHeight="1" x14ac:dyDescent="0.2">
      <c r="A4" s="57" t="s">
        <v>32</v>
      </c>
      <c r="B4" s="58" t="s">
        <v>33</v>
      </c>
      <c r="C4" s="59" t="s">
        <v>34</v>
      </c>
      <c r="D4" s="81">
        <v>1.2250000000000001</v>
      </c>
      <c r="G4" s="21" t="s">
        <v>36</v>
      </c>
      <c r="H4" s="49">
        <f ca="1">SUM(L13:L21)/1000000</f>
        <v>3.4730269774919744</v>
      </c>
      <c r="I4" s="22" t="s">
        <v>84</v>
      </c>
    </row>
    <row r="5" spans="1:31" ht="24" customHeight="1" x14ac:dyDescent="0.2">
      <c r="A5" s="17" t="s">
        <v>48</v>
      </c>
      <c r="B5" s="18">
        <f>BLD!D2</f>
        <v>124.7</v>
      </c>
      <c r="C5" s="60" t="s">
        <v>29</v>
      </c>
      <c r="D5" s="64" t="s">
        <v>73</v>
      </c>
      <c r="G5" s="21" t="s">
        <v>38</v>
      </c>
      <c r="H5" s="49">
        <f ca="1">SUM(M13:M21)*B9/1000000</f>
        <v>25.074345987493757</v>
      </c>
      <c r="I5" s="22" t="s">
        <v>85</v>
      </c>
    </row>
    <row r="6" spans="1:31" ht="24" customHeight="1" x14ac:dyDescent="0.2">
      <c r="A6" s="17" t="s">
        <v>19</v>
      </c>
      <c r="B6" s="18">
        <v>3</v>
      </c>
      <c r="C6" s="60"/>
      <c r="D6" s="82">
        <v>0</v>
      </c>
      <c r="G6" s="21" t="s">
        <v>37</v>
      </c>
      <c r="H6" s="83">
        <f ca="1">H4*1000000/(0.5*$D$4*$B$7^2*PI()*$B$5^2)</f>
        <v>0.80604036687320746</v>
      </c>
      <c r="I6" s="22"/>
    </row>
    <row r="7" spans="1:31" ht="24" customHeight="1" x14ac:dyDescent="0.2">
      <c r="A7" s="17" t="s">
        <v>49</v>
      </c>
      <c r="B7" s="72">
        <v>12</v>
      </c>
      <c r="C7" s="18" t="s">
        <v>30</v>
      </c>
      <c r="D7" s="98" t="s">
        <v>68</v>
      </c>
      <c r="G7" s="23" t="s">
        <v>39</v>
      </c>
      <c r="H7" s="125">
        <f ca="1">H5*1000000/(0.5*$D$4*$B$7^3*PI()*$B$5^2)</f>
        <v>0.48495004429489558</v>
      </c>
      <c r="I7" s="25"/>
    </row>
    <row r="8" spans="1:31" ht="24" customHeight="1" x14ac:dyDescent="0.2">
      <c r="A8" s="17" t="s">
        <v>25</v>
      </c>
      <c r="B8" s="72">
        <v>10</v>
      </c>
      <c r="C8" s="18"/>
      <c r="D8" s="99"/>
    </row>
    <row r="9" spans="1:31" ht="24" customHeight="1" x14ac:dyDescent="0.2">
      <c r="A9" s="61" t="s">
        <v>50</v>
      </c>
      <c r="B9" s="62">
        <f>B8*B7/B5</f>
        <v>0.96230954290296711</v>
      </c>
      <c r="C9" s="62" t="s">
        <v>31</v>
      </c>
      <c r="D9" s="63">
        <v>0.1</v>
      </c>
    </row>
    <row r="10" spans="1:31" ht="24" customHeight="1" x14ac:dyDescent="0.2">
      <c r="G10" s="19"/>
      <c r="H10" s="19"/>
      <c r="I10" s="19"/>
      <c r="J10" s="19"/>
      <c r="K10" s="19"/>
      <c r="L10" s="19"/>
      <c r="M10" s="19"/>
      <c r="N10" s="19"/>
    </row>
    <row r="11" spans="1:31" ht="24" customHeight="1" x14ac:dyDescent="0.2">
      <c r="A11" s="103" t="s">
        <v>79</v>
      </c>
      <c r="B11" s="104"/>
      <c r="C11" s="104"/>
      <c r="D11" s="104"/>
      <c r="E11" s="105"/>
      <c r="F11" s="15"/>
      <c r="G11" s="93" t="s">
        <v>43</v>
      </c>
      <c r="H11" s="94"/>
      <c r="I11" s="19"/>
      <c r="J11" s="100" t="s">
        <v>52</v>
      </c>
      <c r="K11" s="101"/>
      <c r="L11" s="101"/>
      <c r="M11" s="101"/>
      <c r="N11" s="101"/>
      <c r="O11" s="101"/>
      <c r="P11" s="101"/>
      <c r="Q11" s="101"/>
      <c r="R11" s="102"/>
    </row>
    <row r="12" spans="1:31" s="20" customFormat="1" ht="24" customHeight="1" x14ac:dyDescent="0.2">
      <c r="A12" s="73" t="s">
        <v>47</v>
      </c>
      <c r="B12" s="74" t="s">
        <v>0</v>
      </c>
      <c r="C12" s="74" t="s">
        <v>13</v>
      </c>
      <c r="D12" s="74" t="s">
        <v>46</v>
      </c>
      <c r="E12" s="75" t="s">
        <v>26</v>
      </c>
      <c r="G12" s="33" t="s">
        <v>44</v>
      </c>
      <c r="H12" s="34" t="s">
        <v>45</v>
      </c>
      <c r="J12" s="38" t="s">
        <v>56</v>
      </c>
      <c r="K12" s="39" t="s">
        <v>53</v>
      </c>
      <c r="L12" s="39" t="s">
        <v>36</v>
      </c>
      <c r="M12" s="39" t="s">
        <v>54</v>
      </c>
      <c r="N12" s="39" t="s">
        <v>57</v>
      </c>
      <c r="O12" s="39" t="s">
        <v>55</v>
      </c>
      <c r="P12" s="39" t="s">
        <v>61</v>
      </c>
      <c r="Q12" s="39" t="s">
        <v>62</v>
      </c>
      <c r="R12" s="40" t="s">
        <v>63</v>
      </c>
    </row>
    <row r="13" spans="1:31" ht="24" customHeight="1" x14ac:dyDescent="0.2">
      <c r="A13" s="76" t="s">
        <v>2</v>
      </c>
      <c r="B13" s="77">
        <v>0.15</v>
      </c>
      <c r="C13" s="77">
        <f ca="1">FORECAST(B13,OFFSET(BLD!$E$4:$E$44,MATCH(B13,BLD!$C$4:'BLD'!$C$44)-1,0,2,1),OFFSET(BLD!$C$4:$C$44,MATCH(B13,BLD!$C$4:$C$44)-1,0,2,1))</f>
        <v>7</v>
      </c>
      <c r="D13" s="77">
        <f ca="1">FORECAST(B13,OFFSET(BLD!$D$4:$D$44,MATCH(B13,BLD!$C$4:'BLD'!$C$44)-1,0,2,1),OFFSET(BLD!$C$4:$C$44,MATCH(B13,BLD!$C$4:$C$44)-1,0,2,1))</f>
        <v>12.785607937157824</v>
      </c>
      <c r="E13" s="78">
        <f t="shared" ref="E13:E21" ca="1" si="0">$B$6*C13/(2*PI()*B13*$B$5)</f>
        <v>0.17868237396042783</v>
      </c>
      <c r="G13" s="84">
        <v>23.701178341241175</v>
      </c>
      <c r="H13" s="86">
        <f t="shared" ref="H13:H21" ca="1" si="1">(SIN(G13*PI()/180)/(1-E37))-(COS(G13*PI()/180)/(A25*(1+F37)))</f>
        <v>-8.5952234437525199E-5</v>
      </c>
      <c r="J13" s="28">
        <f t="shared" ref="J13:J21" ca="1" si="2">0.5*$D$4*($B$7*A25)^2*A37*$B$6*C13*$D$9*$B$5</f>
        <v>75845.118902228409</v>
      </c>
      <c r="K13" s="48">
        <f t="shared" ref="K13:K21" ca="1" si="3">0.5*$D$4*($B$7*A25)^2*B37*$B$6*C13*$D$9*$B$5</f>
        <v>32402.918866452437</v>
      </c>
      <c r="L13" s="48">
        <f ca="1">J13</f>
        <v>75845.118902228409</v>
      </c>
      <c r="M13" s="48">
        <f ca="1">K13*B13*$B$5</f>
        <v>606096.59739699285</v>
      </c>
      <c r="N13" s="48">
        <f t="shared" ref="N13:N21" ca="1" si="4">0.5*$D$4*($B$7*A25)^2*A37*$B$6*C13</f>
        <v>6082.2068085187175</v>
      </c>
      <c r="O13" s="48">
        <f t="shared" ref="O13:O21" ca="1" si="5">0.5*$D$4*($B$7*A25)^2*B37*$B$6*C13</f>
        <v>2598.4698369248144</v>
      </c>
      <c r="P13" s="48">
        <f t="shared" ref="P13:P21" ca="1" si="6">N13/(0.5*$D$4*$B$7^2*PI()*$B$5*2)</f>
        <v>8.8012888845513573E-2</v>
      </c>
      <c r="Q13" s="48">
        <f t="shared" ref="Q13:Q21" ca="1" si="7">M13/(0.5*$D$4*$B$7^2*PI()*2*$B$5^2)</f>
        <v>7.0333217520710103E-2</v>
      </c>
      <c r="R13" s="29">
        <f t="shared" ref="R13:R21" ca="1" si="8">M13*$B$9/(0.5*$D$4*$B$7^3*PI()*$B$5^2)</f>
        <v>1.1280387733874917E-2</v>
      </c>
    </row>
    <row r="14" spans="1:31" ht="24" customHeight="1" x14ac:dyDescent="0.2">
      <c r="A14" s="76">
        <v>2</v>
      </c>
      <c r="B14" s="77">
        <f t="shared" ref="B14:B21" si="9">B13+$D$9</f>
        <v>0.25</v>
      </c>
      <c r="C14" s="77">
        <f ca="1">FORECAST(B14,OFFSET(BLD!$E$4:$E$44,MATCH(B14,BLD!$C$4:'BLD'!$C$44)-1,0,2,1),OFFSET(BLD!$C$4:$C$44,MATCH(B14,BLD!$C$4:$C$44)-1,0,2,1))</f>
        <v>5.803801539298477</v>
      </c>
      <c r="D14" s="77">
        <f ca="1">FORECAST(B14,OFFSET(BLD!$D$4:$D$44,MATCH(B14,BLD!$C$4:'BLD'!$C$44)-1,0,2,1),OFFSET(BLD!$C$4:$C$44,MATCH(B14,BLD!$C$4:$C$44)-1,0,2,1))</f>
        <v>4.9421196060527031</v>
      </c>
      <c r="E14" s="78">
        <f t="shared" ca="1" si="0"/>
        <v>8.8888888888888892E-2</v>
      </c>
      <c r="G14" s="84">
        <v>14.498776684847632</v>
      </c>
      <c r="H14" s="86">
        <f t="shared" ca="1" si="1"/>
        <v>8.6753455237370547E-4</v>
      </c>
      <c r="J14" s="28">
        <f t="shared" ca="1" si="2"/>
        <v>168982.00456960208</v>
      </c>
      <c r="K14" s="48">
        <f t="shared" ca="1" si="3"/>
        <v>41972.482569506938</v>
      </c>
      <c r="L14" s="48">
        <f t="shared" ref="L14:L21" ca="1" si="10">J14</f>
        <v>168982.00456960208</v>
      </c>
      <c r="M14" s="48">
        <f t="shared" ref="M14:M21" ca="1" si="11">K14*B14*$B$5</f>
        <v>1308492.1441043788</v>
      </c>
      <c r="N14" s="48">
        <f t="shared" ca="1" si="4"/>
        <v>13551.082964683404</v>
      </c>
      <c r="O14" s="48">
        <f t="shared" ca="1" si="5"/>
        <v>3365.8767096637475</v>
      </c>
      <c r="P14" s="48">
        <f t="shared" ca="1" si="6"/>
        <v>0.1960916483531214</v>
      </c>
      <c r="Q14" s="48">
        <f t="shared" ca="1" si="7"/>
        <v>0.15184124608301297</v>
      </c>
      <c r="R14" s="29">
        <f t="shared" ca="1" si="8"/>
        <v>2.4353046685326857E-2</v>
      </c>
    </row>
    <row r="15" spans="1:31" ht="24" customHeight="1" x14ac:dyDescent="0.2">
      <c r="A15" s="76">
        <v>3</v>
      </c>
      <c r="B15" s="77">
        <f t="shared" si="9"/>
        <v>0.35</v>
      </c>
      <c r="C15" s="77">
        <f ca="1">FORECAST(B15,OFFSET(BLD!$E$4:$E$44,MATCH(B15,BLD!$C$4:'BLD'!$C$44)-1,0,2,1),OFFSET(BLD!$C$4:$C$44,MATCH(B15,BLD!$C$4:$C$44)-1,0,2,1))</f>
        <v>4.1455725280703408</v>
      </c>
      <c r="D15" s="77">
        <f ca="1">FORECAST(B15,OFFSET(BLD!$D$4:$D$44,MATCH(B15,BLD!$C$4:'BLD'!$C$44)-1,0,2,1),OFFSET(BLD!$C$4:$C$44,MATCH(B15,BLD!$C$4:$C$44)-1,0,2,1))</f>
        <v>0.9657255891090184</v>
      </c>
      <c r="E15" s="78">
        <f t="shared" ca="1" si="0"/>
        <v>4.5351473922902494E-2</v>
      </c>
      <c r="G15" s="84">
        <v>10.832134373318778</v>
      </c>
      <c r="H15" s="86">
        <f t="shared" ca="1" si="1"/>
        <v>1.6924492905528998E-4</v>
      </c>
      <c r="J15" s="28">
        <f t="shared" ca="1" si="2"/>
        <v>245205.75955184607</v>
      </c>
      <c r="K15" s="48">
        <f t="shared" ca="1" si="3"/>
        <v>44484.161353590353</v>
      </c>
      <c r="L15" s="48">
        <f t="shared" ca="1" si="10"/>
        <v>245205.75955184607</v>
      </c>
      <c r="M15" s="48">
        <f t="shared" ca="1" si="11"/>
        <v>1941511.2222774508</v>
      </c>
      <c r="N15" s="48">
        <f t="shared" ca="1" si="4"/>
        <v>19663.653532625987</v>
      </c>
      <c r="O15" s="48">
        <f t="shared" ca="1" si="5"/>
        <v>3567.2944148829465</v>
      </c>
      <c r="P15" s="48">
        <f t="shared" ca="1" si="6"/>
        <v>0.28454391755304215</v>
      </c>
      <c r="Q15" s="48">
        <f t="shared" ca="1" si="7"/>
        <v>0.2252986268225125</v>
      </c>
      <c r="R15" s="29">
        <f t="shared" ca="1" si="8"/>
        <v>3.6134503099039691E-2</v>
      </c>
    </row>
    <row r="16" spans="1:31" ht="24" customHeight="1" x14ac:dyDescent="0.2">
      <c r="A16" s="76">
        <v>4</v>
      </c>
      <c r="B16" s="77">
        <f t="shared" si="9"/>
        <v>0.44999999999999996</v>
      </c>
      <c r="C16" s="77">
        <f ca="1">FORECAST(B16,OFFSET(BLD!$E$4:$E$44,MATCH(B16,BLD!$C$4:'BLD'!$C$44)-1,0,2,1),OFFSET(BLD!$C$4:$C$44,MATCH(B16,BLD!$C$4:$C$44)-1,0,2,1))</f>
        <v>3.2243341884991534</v>
      </c>
      <c r="D16" s="77">
        <f ca="1">FORECAST(B16,OFFSET(BLD!$D$4:$D$44,MATCH(B16,BLD!$C$4:'BLD'!$C$44)-1,0,2,1),OFFSET(BLD!$C$4:$C$44,MATCH(B16,BLD!$C$4:$C$44)-1,0,2,1))</f>
        <v>-1.3722844604131748</v>
      </c>
      <c r="E16" s="78">
        <f t="shared" ca="1" si="0"/>
        <v>2.7434842249657067E-2</v>
      </c>
      <c r="G16" s="84">
        <v>8.6004928478500009</v>
      </c>
      <c r="H16" s="86">
        <f t="shared" ca="1" si="1"/>
        <v>5.7834168279702336E-6</v>
      </c>
      <c r="J16" s="28">
        <f t="shared" ca="1" si="2"/>
        <v>319632.81136870867</v>
      </c>
      <c r="K16" s="48">
        <f t="shared" ca="1" si="3"/>
        <v>45211.079337132905</v>
      </c>
      <c r="L16" s="48">
        <f t="shared" ca="1" si="10"/>
        <v>319632.81136870867</v>
      </c>
      <c r="M16" s="48">
        <f t="shared" ca="1" si="11"/>
        <v>2537019.7170032128</v>
      </c>
      <c r="N16" s="48">
        <f t="shared" ca="1" si="4"/>
        <v>25632.142050417693</v>
      </c>
      <c r="O16" s="48">
        <f t="shared" ca="1" si="5"/>
        <v>3625.5877575888453</v>
      </c>
      <c r="P16" s="48">
        <f t="shared" ca="1" si="6"/>
        <v>0.37091123997890679</v>
      </c>
      <c r="Q16" s="48">
        <f t="shared" ca="1" si="7"/>
        <v>0.29440317001720667</v>
      </c>
      <c r="R16" s="29">
        <f t="shared" ca="1" si="8"/>
        <v>4.7217829994740446E-2</v>
      </c>
    </row>
    <row r="17" spans="1:18" ht="24" customHeight="1" x14ac:dyDescent="0.2">
      <c r="A17" s="76">
        <v>5</v>
      </c>
      <c r="B17" s="77">
        <f t="shared" si="9"/>
        <v>0.54999999999999993</v>
      </c>
      <c r="C17" s="77">
        <f ca="1">FORECAST(B17,OFFSET(BLD!$E$4:$E$44,MATCH(B17,BLD!$C$4:'BLD'!$C$44)-1,0,2,1),OFFSET(BLD!$C$4:$C$44,MATCH(B17,BLD!$C$4:$C$44)-1,0,2,1))</f>
        <v>2.6380916087720347</v>
      </c>
      <c r="D17" s="77">
        <f ca="1">FORECAST(B17,OFFSET(BLD!$D$4:$D$44,MATCH(B17,BLD!$C$4:'BLD'!$C$44)-1,0,2,1),OFFSET(BLD!$C$4:$C$44,MATCH(B17,BLD!$C$4:$C$44)-1,0,2,1))</f>
        <v>-2.8990356996599136</v>
      </c>
      <c r="E17" s="78">
        <f t="shared" ca="1" si="0"/>
        <v>1.8365472910927456E-2</v>
      </c>
      <c r="G17" s="84">
        <v>7.1330603630316585</v>
      </c>
      <c r="H17" s="86">
        <f t="shared" ca="1" si="1"/>
        <v>1.7855435447713952E-4</v>
      </c>
      <c r="J17" s="28">
        <f t="shared" ca="1" si="2"/>
        <v>393483.57214030589</v>
      </c>
      <c r="K17" s="48">
        <f t="shared" ca="1" si="3"/>
        <v>45407.928115259347</v>
      </c>
      <c r="L17" s="48">
        <f t="shared" ca="1" si="10"/>
        <v>393483.57214030589</v>
      </c>
      <c r="M17" s="48">
        <f t="shared" ca="1" si="11"/>
        <v>3114302.7497850619</v>
      </c>
      <c r="N17" s="48">
        <f t="shared" ca="1" si="4"/>
        <v>31554.416370513703</v>
      </c>
      <c r="O17" s="48">
        <f t="shared" ca="1" si="5"/>
        <v>3641.3735457305006</v>
      </c>
      <c r="P17" s="48">
        <f t="shared" ca="1" si="6"/>
        <v>0.45660981746187035</v>
      </c>
      <c r="Q17" s="48">
        <f t="shared" ca="1" si="7"/>
        <v>0.36139277743298076</v>
      </c>
      <c r="R17" s="29">
        <f t="shared" ca="1" si="8"/>
        <v>5.7961953076660903E-2</v>
      </c>
    </row>
    <row r="18" spans="1:18" ht="24" customHeight="1" x14ac:dyDescent="0.2">
      <c r="A18" s="76">
        <v>6</v>
      </c>
      <c r="B18" s="77">
        <f t="shared" si="9"/>
        <v>0.64999999999999991</v>
      </c>
      <c r="C18" s="77">
        <f ca="1">FORECAST(B18,OFFSET(BLD!$E$4:$E$44,MATCH(B18,BLD!$C$4:'BLD'!$C$44)-1,0,2,1),OFFSET(BLD!$C$4:$C$44,MATCH(B18,BLD!$C$4:$C$44)-1,0,2,1))</f>
        <v>2.2322313612686444</v>
      </c>
      <c r="D18" s="77">
        <f ca="1">FORECAST(B18,OFFSET(BLD!$D$4:$D$44,MATCH(B18,BLD!$C$4:'BLD'!$C$44)-1,0,2,1),OFFSET(BLD!$C$4:$C$44,MATCH(B18,BLD!$C$4:$C$44)-1,0,2,1))</f>
        <v>-3.9708228388790241</v>
      </c>
      <c r="E18" s="78">
        <f t="shared" ca="1" si="0"/>
        <v>1.3149243918474688E-2</v>
      </c>
      <c r="G18" s="84">
        <v>6.1146463431941003</v>
      </c>
      <c r="H18" s="86">
        <f t="shared" ca="1" si="1"/>
        <v>6.1649220845699793E-4</v>
      </c>
      <c r="J18" s="28">
        <f t="shared" ca="1" si="2"/>
        <v>467456.36963321402</v>
      </c>
      <c r="K18" s="48">
        <f t="shared" ca="1" si="3"/>
        <v>45532.010046482668</v>
      </c>
      <c r="L18" s="48">
        <f t="shared" ca="1" si="10"/>
        <v>467456.36963321402</v>
      </c>
      <c r="M18" s="48">
        <f t="shared" ca="1" si="11"/>
        <v>3690597.0743176523</v>
      </c>
      <c r="N18" s="48">
        <f t="shared" ca="1" si="4"/>
        <v>37486.47711573488</v>
      </c>
      <c r="O18" s="48">
        <f t="shared" ca="1" si="5"/>
        <v>3651.3239812736701</v>
      </c>
      <c r="P18" s="48">
        <f t="shared" ca="1" si="6"/>
        <v>0.54245000991680914</v>
      </c>
      <c r="Q18" s="48">
        <f t="shared" ca="1" si="7"/>
        <v>0.42826765225883717</v>
      </c>
      <c r="R18" s="29">
        <f t="shared" ca="1" si="8"/>
        <v>6.8687674780888081E-2</v>
      </c>
    </row>
    <row r="19" spans="1:18" ht="24" customHeight="1" x14ac:dyDescent="0.2">
      <c r="A19" s="76">
        <v>7</v>
      </c>
      <c r="B19" s="77">
        <f t="shared" si="9"/>
        <v>0.74999999999999989</v>
      </c>
      <c r="C19" s="77">
        <f ca="1">FORECAST(B19,OFFSET(BLD!$E$4:$E$44,MATCH(B19,BLD!$C$4:'BLD'!$C$44)-1,0,2,1),OFFSET(BLD!$C$4:$C$44,MATCH(B19,BLD!$C$4:$C$44)-1,0,2,1))</f>
        <v>1.9346005130994923</v>
      </c>
      <c r="D19" s="77">
        <f ca="1">FORECAST(B19,OFFSET(BLD!$D$4:$D$44,MATCH(B19,BLD!$C$4:'BLD'!$C$44)-1,0,2,1),OFFSET(BLD!$C$4:$C$44,MATCH(B19,BLD!$C$4:$C$44)-1,0,2,1))</f>
        <v>-4.7633868172655287</v>
      </c>
      <c r="E19" s="78">
        <f t="shared" ca="1" si="0"/>
        <v>9.8765432098765447E-3</v>
      </c>
      <c r="G19" s="84">
        <v>5.3506344184456269</v>
      </c>
      <c r="H19" s="86">
        <f t="shared" ca="1" si="1"/>
        <v>9.5953275114349368E-4</v>
      </c>
      <c r="J19" s="28">
        <f t="shared" ca="1" si="2"/>
        <v>540983.12675531418</v>
      </c>
      <c r="K19" s="48">
        <f t="shared" ca="1" si="3"/>
        <v>45414.975411608692</v>
      </c>
      <c r="L19" s="48">
        <f t="shared" ca="1" si="10"/>
        <v>540983.12675531418</v>
      </c>
      <c r="M19" s="48">
        <f t="shared" ca="1" si="11"/>
        <v>4247435.5753707029</v>
      </c>
      <c r="N19" s="48">
        <f t="shared" ca="1" si="4"/>
        <v>43382.768785510358</v>
      </c>
      <c r="O19" s="48">
        <f t="shared" ca="1" si="5"/>
        <v>3641.938685774554</v>
      </c>
      <c r="P19" s="48">
        <f t="shared" ca="1" si="6"/>
        <v>0.62777260411170532</v>
      </c>
      <c r="Q19" s="48">
        <f t="shared" ca="1" si="7"/>
        <v>0.49288481656345351</v>
      </c>
      <c r="R19" s="29">
        <f t="shared" ca="1" si="8"/>
        <v>7.9051293755164953E-2</v>
      </c>
    </row>
    <row r="20" spans="1:18" ht="24" customHeight="1" x14ac:dyDescent="0.2">
      <c r="A20" s="76">
        <v>8</v>
      </c>
      <c r="B20" s="77">
        <f t="shared" si="9"/>
        <v>0.84999999999999987</v>
      </c>
      <c r="C20" s="77">
        <f ca="1">FORECAST(B20,OFFSET(BLD!$E$4:$E$44,MATCH(B20,BLD!$C$4:'BLD'!$C$44)-1,0,2,1),OFFSET(BLD!$C$4:$C$44,MATCH(B20,BLD!$C$4:$C$44)-1,0,2,1))</f>
        <v>1.7070004527348459</v>
      </c>
      <c r="D20" s="77">
        <f ca="1">FORECAST(B20,OFFSET(BLD!$D$4:$D$44,MATCH(B20,BLD!$C$4:'BLD'!$C$44)-1,0,2,1),OFFSET(BLD!$C$4:$C$44,MATCH(B20,BLD!$C$4:$C$44)-1,0,2,1))</f>
        <v>-5.3727463744627775</v>
      </c>
      <c r="E20" s="78">
        <f t="shared" ca="1" si="0"/>
        <v>7.6893502499038834E-3</v>
      </c>
      <c r="G20" s="84">
        <v>4.6175795093436136</v>
      </c>
      <c r="H20" s="86">
        <f t="shared" ca="1" si="1"/>
        <v>1.4944998236730844E-4</v>
      </c>
      <c r="J20" s="28">
        <f t="shared" ca="1" si="2"/>
        <v>608971.65152590815</v>
      </c>
      <c r="K20" s="48">
        <f t="shared" ca="1" si="3"/>
        <v>43309.721579286503</v>
      </c>
      <c r="L20" s="48">
        <f t="shared" ca="1" si="10"/>
        <v>608971.65152590815</v>
      </c>
      <c r="M20" s="48">
        <f t="shared" ca="1" si="11"/>
        <v>4590613.9387964718</v>
      </c>
      <c r="N20" s="48">
        <f t="shared" ca="1" si="4"/>
        <v>48834.9359683968</v>
      </c>
      <c r="O20" s="48">
        <f t="shared" ca="1" si="5"/>
        <v>3473.1131980181635</v>
      </c>
      <c r="P20" s="48">
        <f t="shared" ca="1" si="6"/>
        <v>0.70666847190141113</v>
      </c>
      <c r="Q20" s="48">
        <f t="shared" ca="1" si="7"/>
        <v>0.53270823511898824</v>
      </c>
      <c r="R20" s="29">
        <f t="shared" ca="1" si="8"/>
        <v>8.5438369706333311E-2</v>
      </c>
    </row>
    <row r="21" spans="1:18" ht="24" customHeight="1" x14ac:dyDescent="0.2">
      <c r="A21" s="73" t="s">
        <v>3</v>
      </c>
      <c r="B21" s="79">
        <f t="shared" si="9"/>
        <v>0.94999999999999984</v>
      </c>
      <c r="C21" s="79">
        <f ca="1">FORECAST(B21,OFFSET(BLD!$E$4:$E$44,MATCH(B21,BLD!$C$4:'BLD'!$C$44)-1,0,2,1),OFFSET(BLD!$C$4:$C$44,MATCH(B21,BLD!$C$4:$C$44)-1,0,2,1))</f>
        <v>1.5273161945522307</v>
      </c>
      <c r="D21" s="79">
        <f ca="1">FORECAST(B21,OFFSET(BLD!$D$4:$D$44,MATCH(B21,BLD!$C$4:'BLD'!$C$44)-1,0,2,1),OFFSET(BLD!$C$4:$C$44,MATCH(B21,BLD!$C$4:$C$44)-1,0,2,1))</f>
        <v>-5.8555999712299771</v>
      </c>
      <c r="E21" s="80">
        <f t="shared" ca="1" si="0"/>
        <v>6.1557402277623878E-3</v>
      </c>
      <c r="G21" s="85">
        <v>3.5272077240480892</v>
      </c>
      <c r="H21" s="87">
        <f t="shared" ca="1" si="1"/>
        <v>3.9477532705410601E-4</v>
      </c>
      <c r="J21" s="30">
        <f t="shared" ca="1" si="2"/>
        <v>652466.56304484641</v>
      </c>
      <c r="K21" s="31">
        <f t="shared" ca="1" si="3"/>
        <v>33937.074406944441</v>
      </c>
      <c r="L21" s="31">
        <f t="shared" ca="1" si="10"/>
        <v>652466.56304484641</v>
      </c>
      <c r="M21" s="31">
        <f t="shared" ca="1" si="11"/>
        <v>4020355.5196186728</v>
      </c>
      <c r="N21" s="31">
        <f t="shared" ca="1" si="4"/>
        <v>52322.90000359634</v>
      </c>
      <c r="O21" s="31">
        <f t="shared" ca="1" si="5"/>
        <v>2721.4975466675569</v>
      </c>
      <c r="P21" s="31">
        <f t="shared" ca="1" si="6"/>
        <v>0.75714123624365659</v>
      </c>
      <c r="Q21" s="31">
        <f t="shared" ca="1" si="7"/>
        <v>0.46653378436097215</v>
      </c>
      <c r="R21" s="32">
        <f t="shared" ca="1" si="8"/>
        <v>7.4824985462866422E-2</v>
      </c>
    </row>
    <row r="22" spans="1:18" ht="24" customHeight="1" x14ac:dyDescent="0.2">
      <c r="A22" s="20"/>
    </row>
    <row r="23" spans="1:18" ht="24" customHeight="1" x14ac:dyDescent="0.2">
      <c r="A23" s="106" t="s">
        <v>28</v>
      </c>
      <c r="B23" s="107"/>
      <c r="C23" s="107"/>
      <c r="D23" s="108"/>
    </row>
    <row r="24" spans="1:18" ht="24" customHeight="1" x14ac:dyDescent="0.2">
      <c r="A24" s="35" t="s">
        <v>40</v>
      </c>
      <c r="B24" s="36" t="s">
        <v>51</v>
      </c>
      <c r="C24" s="36" t="s">
        <v>7</v>
      </c>
      <c r="D24" s="37" t="s">
        <v>8</v>
      </c>
    </row>
    <row r="25" spans="1:18" ht="24" customHeight="1" x14ac:dyDescent="0.2">
      <c r="A25" s="21">
        <f t="shared" ref="A25:A33" si="12">B13*$B$5*$B$9/$B$7</f>
        <v>1.4999999999999998</v>
      </c>
      <c r="B25" s="49">
        <f t="shared" ref="B25:B33" ca="1" si="13">G13-(D13+$D$6)</f>
        <v>10.915570404083351</v>
      </c>
      <c r="C25" s="50">
        <f ca="1">FORECAST(B25,OFFSET(ARFL!$B$3:$B$107,MATCH(B25,ARFL!$A$3:'ARFL'!$A$107)-1,0,2,1),OFFSET(ARFL!$A$3:$A$107,MATCH(B25,ARFL!$A$3:'ARFL'!$A$107)-1,0,2,1))</f>
        <v>1.5869889468626099</v>
      </c>
      <c r="D25" s="22">
        <f ca="1">FORECAST(B25,OFFSET(ARFL!$C$3:$C$107,MATCH(B25,ARFL!$A$3:'ARFL'!$A$107)-1,0,2,1),OFFSET(ARFL!$A$3:$A$107,MATCH(B25,ARFL!$A$3:'ARFL'!$A$107)-1,0,2,1))</f>
        <v>1.5727577085920857E-2</v>
      </c>
    </row>
    <row r="26" spans="1:18" ht="24" customHeight="1" x14ac:dyDescent="0.2">
      <c r="A26" s="21">
        <f t="shared" si="12"/>
        <v>2.5</v>
      </c>
      <c r="B26" s="49">
        <f t="shared" ca="1" si="13"/>
        <v>9.5566570787949292</v>
      </c>
      <c r="C26" s="50">
        <f ca="1">FORECAST(B26,OFFSET(ARFL!$B$3:$B$107,MATCH(B26,ARFL!$A$3:'ARFL'!$A$107)-1,0,2,1),OFFSET(ARFL!$A$3:$A$107,MATCH(B26,ARFL!$A$3:'ARFL'!$A$107)-1,0,2,1))</f>
        <v>1.4546933275655882</v>
      </c>
      <c r="D26" s="22">
        <f ca="1">FORECAST(B26,OFFSET(ARFL!$C$3:$C$107,MATCH(B26,ARFL!$A$3:'ARFL'!$A$107)-1,0,2,1),OFFSET(ARFL!$A$3:$A$107,MATCH(B26,ARFL!$A$3:'ARFL'!$A$107)-1,0,2,1))</f>
        <v>1.3956657078794926E-2</v>
      </c>
    </row>
    <row r="27" spans="1:18" ht="24" customHeight="1" x14ac:dyDescent="0.2">
      <c r="A27" s="21">
        <f t="shared" si="12"/>
        <v>3.4999999999999996</v>
      </c>
      <c r="B27" s="49">
        <f t="shared" ca="1" si="13"/>
        <v>9.8664087842097601</v>
      </c>
      <c r="C27" s="50">
        <f ca="1">FORECAST(B27,OFFSET(ARFL!$B$3:$B$107,MATCH(B27,ARFL!$A$3:'ARFL'!$A$107)-1,0,2,1),OFFSET(ARFL!$A$3:$A$107,MATCH(B27,ARFL!$A$3:'ARFL'!$A$107)-1,0,2,1))</f>
        <v>1.4871862814636039</v>
      </c>
      <c r="D27" s="22">
        <f ca="1">FORECAST(B27,OFFSET(ARFL!$C$3:$C$107,MATCH(B27,ARFL!$A$3:'ARFL'!$A$107)-1,0,2,1),OFFSET(ARFL!$A$3:$A$107,MATCH(B27,ARFL!$A$3:'ARFL'!$A$107)-1,0,2,1))</f>
        <v>1.4266408784209757E-2</v>
      </c>
    </row>
    <row r="28" spans="1:18" ht="24" customHeight="1" x14ac:dyDescent="0.2">
      <c r="A28" s="21">
        <f t="shared" si="12"/>
        <v>4.4999999999999991</v>
      </c>
      <c r="B28" s="49">
        <f t="shared" ca="1" si="13"/>
        <v>9.9727773082631757</v>
      </c>
      <c r="C28" s="50">
        <f ca="1">FORECAST(B28,OFFSET(ARFL!$B$3:$B$107,MATCH(B28,ARFL!$A$3:'ARFL'!$A$107)-1,0,2,1),OFFSET(ARFL!$A$3:$A$107,MATCH(B28,ARFL!$A$3:'ARFL'!$A$107)-1,0,2,1))</f>
        <v>1.4983443396368072</v>
      </c>
      <c r="D28" s="22">
        <f ca="1">FORECAST(B28,OFFSET(ARFL!$C$3:$C$107,MATCH(B28,ARFL!$A$3:'ARFL'!$A$107)-1,0,2,1),OFFSET(ARFL!$A$3:$A$107,MATCH(B28,ARFL!$A$3:'ARFL'!$A$107)-1,0,2,1))</f>
        <v>1.4372777308263173E-2</v>
      </c>
    </row>
    <row r="29" spans="1:18" ht="24" customHeight="1" x14ac:dyDescent="0.2">
      <c r="A29" s="21">
        <f t="shared" si="12"/>
        <v>5.5</v>
      </c>
      <c r="B29" s="49">
        <f t="shared" ca="1" si="13"/>
        <v>10.032096062691572</v>
      </c>
      <c r="C29" s="50">
        <f ca="1">FORECAST(B29,OFFSET(ARFL!$B$3:$B$107,MATCH(B29,ARFL!$A$3:'ARFL'!$A$107)-1,0,2,1),OFFSET(ARFL!$A$3:$A$107,MATCH(B29,ARFL!$A$3:'ARFL'!$A$107)-1,0,2,1))</f>
        <v>1.5042074010742004</v>
      </c>
      <c r="D29" s="22">
        <f ca="1">FORECAST(B29,OFFSET(ARFL!$C$3:$C$107,MATCH(B29,ARFL!$A$3:'ARFL'!$A$107)-1,0,2,1),OFFSET(ARFL!$A$3:$A$107,MATCH(B29,ARFL!$A$3:'ARFL'!$A$107)-1,0,2,1))</f>
        <v>1.4446539290902779E-2</v>
      </c>
    </row>
    <row r="30" spans="1:18" ht="24" customHeight="1" x14ac:dyDescent="0.2">
      <c r="A30" s="21">
        <f t="shared" si="12"/>
        <v>6.4999999999999991</v>
      </c>
      <c r="B30" s="49">
        <f t="shared" ca="1" si="13"/>
        <v>10.085469182073124</v>
      </c>
      <c r="C30" s="50">
        <f ca="1">FORECAST(B30,OFFSET(ARFL!$B$3:$B$107,MATCH(B30,ARFL!$A$3:'ARFL'!$A$107)-1,0,2,1),OFFSET(ARFL!$A$3:$A$107,MATCH(B30,ARFL!$A$3:'ARFL'!$A$107)-1,0,2,1))</f>
        <v>1.509208462360252</v>
      </c>
      <c r="D30" s="22">
        <f ca="1">FORECAST(B30,OFFSET(ARFL!$C$3:$C$107,MATCH(B30,ARFL!$A$3:'ARFL'!$A$107)-1,0,2,1),OFFSET(ARFL!$A$3:$A$107,MATCH(B30,ARFL!$A$3:'ARFL'!$A$107)-1,0,2,1))</f>
        <v>1.452393031400603E-2</v>
      </c>
    </row>
    <row r="31" spans="1:18" ht="24" customHeight="1" x14ac:dyDescent="0.2">
      <c r="A31" s="21">
        <f t="shared" si="12"/>
        <v>7.4999999999999991</v>
      </c>
      <c r="B31" s="49">
        <f t="shared" ca="1" si="13"/>
        <v>10.114021235711157</v>
      </c>
      <c r="C31" s="50">
        <f ca="1">FORECAST(B31,OFFSET(ARFL!$B$3:$B$107,MATCH(B31,ARFL!$A$3:'ARFL'!$A$107)-1,0,2,1),OFFSET(ARFL!$A$3:$A$107,MATCH(B31,ARFL!$A$3:'ARFL'!$A$107)-1,0,2,1))</f>
        <v>1.5118837897861355</v>
      </c>
      <c r="D31" s="22">
        <f ca="1">FORECAST(B31,OFFSET(ARFL!$C$3:$C$107,MATCH(B31,ARFL!$A$3:'ARFL'!$A$107)-1,0,2,1),OFFSET(ARFL!$A$3:$A$107,MATCH(B31,ARFL!$A$3:'ARFL'!$A$107)-1,0,2,1))</f>
        <v>1.4565330791781177E-2</v>
      </c>
    </row>
    <row r="32" spans="1:18" ht="24" customHeight="1" x14ac:dyDescent="0.2">
      <c r="A32" s="21">
        <f t="shared" si="12"/>
        <v>8.4999999999999982</v>
      </c>
      <c r="B32" s="49">
        <f t="shared" ca="1" si="13"/>
        <v>9.990325883806392</v>
      </c>
      <c r="C32" s="50">
        <f ca="1">FORECAST(B32,OFFSET(ARFL!$B$3:$B$107,MATCH(B32,ARFL!$A$3:'ARFL'!$A$107)-1,0,2,1),OFFSET(ARFL!$A$3:$A$107,MATCH(B32,ARFL!$A$3:'ARFL'!$A$107)-1,0,2,1))</f>
        <v>1.5001851852112906</v>
      </c>
      <c r="D32" s="22">
        <f ca="1">FORECAST(B32,OFFSET(ARFL!$C$3:$C$107,MATCH(B32,ARFL!$A$3:'ARFL'!$A$107)-1,0,2,1),OFFSET(ARFL!$A$3:$A$107,MATCH(B32,ARFL!$A$3:'ARFL'!$A$107)-1,0,2,1))</f>
        <v>1.439032588380639E-2</v>
      </c>
    </row>
    <row r="33" spans="1:6" ht="24" customHeight="1" x14ac:dyDescent="0.2">
      <c r="A33" s="23">
        <f t="shared" si="12"/>
        <v>9.4999999999999982</v>
      </c>
      <c r="B33" s="51">
        <f t="shared" ca="1" si="13"/>
        <v>9.3828076952780659</v>
      </c>
      <c r="C33" s="24">
        <f ca="1">FORECAST(B33,OFFSET(ARFL!$B$3:$B$107,MATCH(B33,ARFL!$A$3:'ARFL'!$A$107)-1,0,2,1),OFFSET(ARFL!$A$3:$A$107,MATCH(B33,ARFL!$A$3:'ARFL'!$A$107)-1,0,2,1))</f>
        <v>1.4364565272346692</v>
      </c>
      <c r="D33" s="25">
        <f ca="1">FORECAST(B33,OFFSET(ARFL!$C$3:$C$107,MATCH(B33,ARFL!$A$3:'ARFL'!$A$107)-1,0,2,1),OFFSET(ARFL!$A$3:$A$107,MATCH(B33,ARFL!$A$3:'ARFL'!$A$107)-1,0,2,1))</f>
        <v>1.3782807695278064E-2</v>
      </c>
    </row>
    <row r="34" spans="1:6" ht="24" customHeight="1" x14ac:dyDescent="0.2">
      <c r="A34" s="20"/>
    </row>
    <row r="35" spans="1:6" ht="24" customHeight="1" x14ac:dyDescent="0.2">
      <c r="A35" s="90" t="s">
        <v>27</v>
      </c>
      <c r="B35" s="91"/>
      <c r="C35" s="91"/>
      <c r="D35" s="91"/>
      <c r="E35" s="91"/>
      <c r="F35" s="92"/>
    </row>
    <row r="36" spans="1:6" ht="24" customHeight="1" x14ac:dyDescent="0.2">
      <c r="A36" s="26" t="s">
        <v>58</v>
      </c>
      <c r="B36" s="47" t="s">
        <v>59</v>
      </c>
      <c r="C36" s="47" t="s">
        <v>21</v>
      </c>
      <c r="D36" s="47" t="s">
        <v>22</v>
      </c>
      <c r="E36" s="47" t="s">
        <v>41</v>
      </c>
      <c r="F36" s="27" t="s">
        <v>42</v>
      </c>
    </row>
    <row r="37" spans="1:6" ht="24" customHeight="1" x14ac:dyDescent="0.2">
      <c r="A37" s="28">
        <f t="shared" ref="A37:A45" ca="1" si="14">C25*COS(G13*PI()/180)+D25*SIN(G13*PI()/180)</f>
        <v>1.4594552564562788</v>
      </c>
      <c r="B37" s="48">
        <f t="shared" ref="B37:B45" ca="1" si="15">C25*SIN(G13*PI()/180)-D25*COS(G13*PI()/180)</f>
        <v>0.62351553994044684</v>
      </c>
      <c r="C37" s="48">
        <f ca="1">E13*A37/(4*TipLoss!E4*(SIN(G13*PI()/180)^2))</f>
        <v>0.40348979359869369</v>
      </c>
      <c r="D37" s="48">
        <f ca="1">E13*B37/(4*TipLoss!E4*(SIN(G13*PI()/180)*COS(G13*PI()/180)))</f>
        <v>7.5674136777844528E-2</v>
      </c>
      <c r="E37" s="48">
        <f ca="1">C37/(C37+1)</f>
        <v>0.28749036540130724</v>
      </c>
      <c r="F37" s="29">
        <f ca="1">D37/(1-D37)</f>
        <v>8.1869543836032163E-2</v>
      </c>
    </row>
    <row r="38" spans="1:6" ht="24" customHeight="1" x14ac:dyDescent="0.2">
      <c r="A38" s="28">
        <f t="shared" ca="1" si="14"/>
        <v>1.4118598681424739</v>
      </c>
      <c r="B38" s="48">
        <f t="shared" ca="1" si="15"/>
        <v>0.35068387226870673</v>
      </c>
      <c r="C38" s="48">
        <f ca="1">E14*A38/(4*TipLoss!E5*(SIN(G14*PI()/180)^2))</f>
        <v>0.50055466341411015</v>
      </c>
      <c r="D38" s="48">
        <f ca="1">E14*B38/(4*TipLoss!E5*(SIN(G14*PI()/180)*COS(G14*PI()/180)))</f>
        <v>3.2151075739353434E-2</v>
      </c>
      <c r="E38" s="48">
        <f t="shared" ref="E38:E45" ca="1" si="16">C38/(C38+1)</f>
        <v>0.3335797592839651</v>
      </c>
      <c r="F38" s="29">
        <f t="shared" ref="F38:F45" ca="1" si="17">D38/(1-D38)</f>
        <v>3.3219105723462053E-2</v>
      </c>
    </row>
    <row r="39" spans="1:6" ht="24" customHeight="1" x14ac:dyDescent="0.2">
      <c r="A39" s="28">
        <f t="shared" ca="1" si="14"/>
        <v>1.463368718844217</v>
      </c>
      <c r="B39" s="48">
        <f t="shared" ca="1" si="15"/>
        <v>0.26547798195212846</v>
      </c>
      <c r="C39" s="48">
        <f ca="1">E15*A39/(4*TipLoss!E6*(SIN(G15*PI()/180)^2))</f>
        <v>0.46976740585658944</v>
      </c>
      <c r="D39" s="48">
        <f ca="1">E15*B39/(4*TipLoss!E6*(SIN(G15*PI()/180)*COS(G15*PI()/180)))</f>
        <v>1.6306728859424302E-2</v>
      </c>
      <c r="E39" s="48">
        <f t="shared" ca="1" si="16"/>
        <v>0.31962023649776483</v>
      </c>
      <c r="F39" s="29">
        <f t="shared" ca="1" si="17"/>
        <v>1.6577046258044365E-2</v>
      </c>
    </row>
    <row r="40" spans="1:6" ht="24" customHeight="1" x14ac:dyDescent="0.2">
      <c r="A40" s="28">
        <f t="shared" ca="1" si="14"/>
        <v>1.4836449599156281</v>
      </c>
      <c r="B40" s="48">
        <f t="shared" ca="1" si="15"/>
        <v>0.20985702219884655</v>
      </c>
      <c r="C40" s="48">
        <f ca="1">E16*A40/(4*TipLoss!E7*(SIN(G16*PI()/180)^2))</f>
        <v>0.45502647471560836</v>
      </c>
      <c r="D40" s="48">
        <f ca="1">E16*B40/(4*TipLoss!E7*(SIN(G16*PI()/180)*COS(G16*PI()/180)))</f>
        <v>9.7344183156019629E-3</v>
      </c>
      <c r="E40" s="48">
        <f t="shared" ca="1" si="16"/>
        <v>0.31272728202732214</v>
      </c>
      <c r="F40" s="29">
        <f t="shared" ca="1" si="17"/>
        <v>9.8301087058323758E-3</v>
      </c>
    </row>
    <row r="41" spans="1:6" ht="24" customHeight="1" x14ac:dyDescent="0.2">
      <c r="A41" s="28">
        <f t="shared" ca="1" si="14"/>
        <v>1.4943594026024849</v>
      </c>
      <c r="B41" s="48">
        <f t="shared" ca="1" si="15"/>
        <v>0.17244878601320601</v>
      </c>
      <c r="C41" s="48">
        <f ca="1">E17*A41/(4*TipLoss!E8*(SIN(G17*PI()/180)^2))</f>
        <v>0.44498937362681118</v>
      </c>
      <c r="D41" s="48">
        <f ca="1">E17*B41/(4*TipLoss!E8*(SIN(G17*PI()/180)*COS(G17*PI()/180)))</f>
        <v>6.4262832285957505E-3</v>
      </c>
      <c r="E41" s="48">
        <f t="shared" ca="1" si="16"/>
        <v>0.3079533882729687</v>
      </c>
      <c r="F41" s="29">
        <f t="shared" ca="1" si="17"/>
        <v>6.4678474481770862E-3</v>
      </c>
    </row>
    <row r="42" spans="1:6" ht="24" customHeight="1" x14ac:dyDescent="0.2">
      <c r="A42" s="28">
        <f t="shared" ca="1" si="14"/>
        <v>1.5021692582311643</v>
      </c>
      <c r="B42" s="48">
        <f t="shared" ca="1" si="15"/>
        <v>0.14631694036165516</v>
      </c>
      <c r="C42" s="48">
        <f ca="1">E18*A42/(4*TipLoss!E9*(SIN(G18*PI()/180)^2))</f>
        <v>0.43536392828652953</v>
      </c>
      <c r="D42" s="48">
        <f ca="1">E18*B42/(4*TipLoss!E9*(SIN(G18*PI()/180)*COS(G18*PI()/180)))</f>
        <v>4.5428674206005933E-3</v>
      </c>
      <c r="E42" s="48">
        <f t="shared" ca="1" si="16"/>
        <v>0.30331257439794146</v>
      </c>
      <c r="F42" s="29">
        <f t="shared" ca="1" si="17"/>
        <v>4.5635992469401955E-3</v>
      </c>
    </row>
    <row r="43" spans="1:6" ht="24" customHeight="1" x14ac:dyDescent="0.2">
      <c r="A43" s="28">
        <f t="shared" ca="1" si="14"/>
        <v>1.5066542498680928</v>
      </c>
      <c r="B43" s="48">
        <f t="shared" ca="1" si="15"/>
        <v>0.12648207000826395</v>
      </c>
      <c r="C43" s="48">
        <f ca="1">E19*A43/(4*TipLoss!E10*(SIN(G19*PI()/180)^2))</f>
        <v>0.42909685317975432</v>
      </c>
      <c r="D43" s="48">
        <f ca="1">E19*B43/(4*TipLoss!E10*(SIN(G19*PI()/180)*COS(G19*PI()/180)))</f>
        <v>3.3737927939278471E-3</v>
      </c>
      <c r="E43" s="48">
        <f t="shared" ca="1" si="16"/>
        <v>0.30025736340053488</v>
      </c>
      <c r="F43" s="29">
        <f t="shared" ca="1" si="17"/>
        <v>3.3852138038652324E-3</v>
      </c>
    </row>
    <row r="44" spans="1:6" ht="24" customHeight="1" x14ac:dyDescent="0.2">
      <c r="A44" s="28">
        <f t="shared" ca="1" si="14"/>
        <v>1.4964744110853421</v>
      </c>
      <c r="B44" s="48">
        <f t="shared" ca="1" si="15"/>
        <v>0.10642841901134954</v>
      </c>
      <c r="C44" s="48">
        <f ca="1">E20*A44/(4*TipLoss!E11*(SIN(G20*PI()/180)^2))</f>
        <v>0.45467673410555359</v>
      </c>
      <c r="D44" s="48">
        <f ca="1">E20*B44/(4*TipLoss!E11*(SIN(G20*PI()/180)*COS(G20*PI()/180)))</f>
        <v>2.6117071735980288E-3</v>
      </c>
      <c r="E44" s="48">
        <f t="shared" ca="1" si="16"/>
        <v>0.31256204450477004</v>
      </c>
      <c r="F44" s="29">
        <f t="shared" ca="1" si="17"/>
        <v>2.6185460490988572E-3</v>
      </c>
    </row>
    <row r="45" spans="1:6" ht="24" customHeight="1" x14ac:dyDescent="0.2">
      <c r="A45" s="30">
        <f t="shared" ca="1" si="14"/>
        <v>1.4345833949879816</v>
      </c>
      <c r="B45" s="31">
        <f t="shared" ca="1" si="15"/>
        <v>7.4617714034991484E-2</v>
      </c>
      <c r="C45" s="31">
        <f ca="1">E21*A45/(4*TipLoss!E12*(SIN(G21*PI()/180)^2))</f>
        <v>0.71025671953761327</v>
      </c>
      <c r="D45" s="31">
        <f ca="1">E21*B45/(4*TipLoss!E12*(SIN(G21*PI()/180)*COS(G21*PI()/180)))</f>
        <v>2.2771362241276235E-3</v>
      </c>
      <c r="E45" s="31">
        <f t="shared" ca="1" si="16"/>
        <v>0.41529245956106459</v>
      </c>
      <c r="F45" s="32">
        <f t="shared" ca="1" si="17"/>
        <v>2.2823334082069883E-3</v>
      </c>
    </row>
    <row r="46" spans="1:6" ht="24" customHeight="1" x14ac:dyDescent="0.2">
      <c r="A46" s="20"/>
    </row>
    <row r="47" spans="1:6" ht="24" customHeight="1" x14ac:dyDescent="0.2">
      <c r="A47" s="20"/>
    </row>
    <row r="48" spans="1:6" ht="24" customHeight="1" x14ac:dyDescent="0.2">
      <c r="A48" s="20"/>
    </row>
    <row r="49" spans="1:1" ht="24" customHeight="1" x14ac:dyDescent="0.2">
      <c r="A49" s="20"/>
    </row>
    <row r="50" spans="1:1" ht="24" customHeight="1" x14ac:dyDescent="0.2">
      <c r="A50" s="20"/>
    </row>
    <row r="51" spans="1:1" ht="24" customHeight="1" x14ac:dyDescent="0.2">
      <c r="A51" s="20"/>
    </row>
    <row r="52" spans="1:1" ht="24" customHeight="1" x14ac:dyDescent="0.2">
      <c r="A52" s="20"/>
    </row>
    <row r="53" spans="1:1" ht="24" customHeight="1" x14ac:dyDescent="0.2">
      <c r="A53" s="20"/>
    </row>
    <row r="54" spans="1:1" ht="24" customHeight="1" x14ac:dyDescent="0.2">
      <c r="A54" s="20"/>
    </row>
    <row r="55" spans="1:1" ht="24" customHeight="1" x14ac:dyDescent="0.2">
      <c r="A55" s="20"/>
    </row>
  </sheetData>
  <mergeCells count="8">
    <mergeCell ref="A35:F35"/>
    <mergeCell ref="G11:H11"/>
    <mergeCell ref="A3:C3"/>
    <mergeCell ref="D7:D8"/>
    <mergeCell ref="J11:R11"/>
    <mergeCell ref="A11:E11"/>
    <mergeCell ref="A23:D23"/>
    <mergeCell ref="G3:I3"/>
  </mergeCells>
  <phoneticPr fontId="1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olve">
                <anchor moveWithCells="1" sizeWithCells="1">
                  <from>
                    <xdr:col>4</xdr:col>
                    <xdr:colOff>127000</xdr:colOff>
                    <xdr:row>2</xdr:row>
                    <xdr:rowOff>76200</xdr:rowOff>
                  </from>
                  <to>
                    <xdr:col>5</xdr:col>
                    <xdr:colOff>723900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">
                <anchor moveWithCells="1" sizeWithCells="1">
                  <from>
                    <xdr:col>4</xdr:col>
                    <xdr:colOff>127000</xdr:colOff>
                    <xdr:row>5</xdr:row>
                    <xdr:rowOff>76200</xdr:rowOff>
                  </from>
                  <to>
                    <xdr:col>5</xdr:col>
                    <xdr:colOff>723900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230CB-6A2F-4905-852B-FDF975B264C3}">
  <sheetPr codeName="Sheet3"/>
  <dimension ref="A1:N42"/>
  <sheetViews>
    <sheetView workbookViewId="0">
      <selection activeCell="E12" sqref="E12"/>
    </sheetView>
  </sheetViews>
  <sheetFormatPr baseColWidth="10" defaultColWidth="15.6640625" defaultRowHeight="15" x14ac:dyDescent="0.2"/>
  <sheetData>
    <row r="1" spans="1:14" ht="18" x14ac:dyDescent="0.2">
      <c r="A1" s="89" t="s">
        <v>60</v>
      </c>
      <c r="B1" s="89"/>
      <c r="C1" s="89"/>
      <c r="D1" s="89"/>
      <c r="E1" s="89"/>
      <c r="F1" s="89"/>
      <c r="G1" s="7"/>
      <c r="H1" s="7"/>
      <c r="I1" s="7"/>
      <c r="J1" s="7"/>
      <c r="K1" s="7"/>
      <c r="L1" s="7"/>
      <c r="M1" s="7"/>
      <c r="N1" s="7"/>
    </row>
    <row r="2" spans="1:14" s="3" customFormat="1" x14ac:dyDescent="0.2">
      <c r="A2" s="3" t="s">
        <v>4</v>
      </c>
      <c r="B2" s="3">
        <f>BLD!B2</f>
        <v>2.8</v>
      </c>
      <c r="C2" s="3" t="s">
        <v>5</v>
      </c>
      <c r="D2" s="3">
        <f>BLD!D2</f>
        <v>124.7</v>
      </c>
      <c r="E2" s="1" t="s">
        <v>20</v>
      </c>
      <c r="F2" s="3">
        <v>3</v>
      </c>
    </row>
    <row r="3" spans="1:14" s="1" customFormat="1" x14ac:dyDescent="0.2">
      <c r="A3" s="1" t="s">
        <v>1</v>
      </c>
      <c r="B3" s="1" t="s">
        <v>0</v>
      </c>
      <c r="C3" s="1" t="s">
        <v>17</v>
      </c>
      <c r="D3" s="1" t="s">
        <v>18</v>
      </c>
      <c r="E3" s="1" t="s">
        <v>24</v>
      </c>
    </row>
    <row r="4" spans="1:14" x14ac:dyDescent="0.2">
      <c r="A4" s="3" t="str">
        <f>Performance!A13</f>
        <v>Root</v>
      </c>
      <c r="B4" s="2">
        <f>Performance!B13</f>
        <v>0.15</v>
      </c>
      <c r="C4" s="2"/>
      <c r="D4" s="2"/>
      <c r="E4" s="2">
        <f>(2/PI())*ACOS(EXP(-($F$2*$D$2*(1-B4))/(2*B4*$D$2*SIN(Performance!G13*PI()/180))))</f>
        <v>0.99999999958286778</v>
      </c>
    </row>
    <row r="5" spans="1:14" x14ac:dyDescent="0.2">
      <c r="A5" s="3">
        <f>Performance!A14</f>
        <v>2</v>
      </c>
      <c r="B5" s="2">
        <f>B4+Performance!$D$9</f>
        <v>0.25</v>
      </c>
      <c r="C5" s="2"/>
      <c r="D5" s="2"/>
      <c r="E5" s="2">
        <f>(2/PI())*ACOS(EXP(-($F$2*$D$2*(1-B5))/(2*B5*$D$2*SIN(Performance!G14*PI()/180))))</f>
        <v>0.99999999005054296</v>
      </c>
    </row>
    <row r="6" spans="1:14" x14ac:dyDescent="0.2">
      <c r="A6" s="3">
        <f>Performance!A15</f>
        <v>3</v>
      </c>
      <c r="B6" s="2">
        <f>B5+Performance!$D$9</f>
        <v>0.35</v>
      </c>
      <c r="C6" s="2"/>
      <c r="D6" s="2"/>
      <c r="E6" s="2">
        <f>(2/PI())*ACOS(EXP(-($F$2*$D$2*(1-B6))/(2*B6*$D$2*SIN(Performance!G15*PI()/180))))</f>
        <v>0.99999976754228492</v>
      </c>
    </row>
    <row r="7" spans="1:14" x14ac:dyDescent="0.2">
      <c r="A7" s="3">
        <f>Performance!A16</f>
        <v>4</v>
      </c>
      <c r="B7" s="2">
        <f>B6+Performance!$D$9</f>
        <v>0.44999999999999996</v>
      </c>
      <c r="C7" s="2"/>
      <c r="D7" s="2"/>
      <c r="E7" s="2">
        <f>(2/PI())*ACOS(EXP(-($F$2*$D$2*(1-B7))/(2*B7*$D$2*SIN(Performance!G16*PI()/180))))</f>
        <v>0.99999698251301439</v>
      </c>
    </row>
    <row r="8" spans="1:14" x14ac:dyDescent="0.2">
      <c r="A8" s="3">
        <f>Performance!A17</f>
        <v>5</v>
      </c>
      <c r="B8" s="2">
        <f>B7+Performance!$D$9</f>
        <v>0.54999999999999993</v>
      </c>
      <c r="C8" s="2"/>
      <c r="D8" s="2"/>
      <c r="E8" s="2">
        <f>(2/PI())*ACOS(EXP(-($F$2*$D$2*(1-B8))/(2*B8*$D$2*SIN(Performance!G17*PI()/180))))</f>
        <v>0.99996752601189764</v>
      </c>
    </row>
    <row r="9" spans="1:14" x14ac:dyDescent="0.2">
      <c r="A9" s="3">
        <f>Performance!A18</f>
        <v>6</v>
      </c>
      <c r="B9" s="2">
        <f>B8+Performance!$D$9</f>
        <v>0.64999999999999991</v>
      </c>
      <c r="C9" s="2"/>
      <c r="D9" s="2"/>
      <c r="E9" s="2">
        <f>(2/PI())*ACOS(EXP(-($F$2*$D$2*(1-B9))/(2*B9*$D$2*SIN(Performance!G18*PI()/180))))</f>
        <v>0.99967583204621047</v>
      </c>
    </row>
    <row r="10" spans="1:14" x14ac:dyDescent="0.2">
      <c r="A10" s="3">
        <f>Performance!A19</f>
        <v>7</v>
      </c>
      <c r="B10" s="2">
        <f>B9+Performance!$D$9</f>
        <v>0.74999999999999989</v>
      </c>
      <c r="C10" s="2"/>
      <c r="D10" s="2"/>
      <c r="E10" s="2">
        <f>(2/PI())*ACOS(EXP(-($F$2*$D$2*(1-B10))/(2*B10*$D$2*SIN(Performance!G19*PI()/180))))</f>
        <v>0.99701298281551032</v>
      </c>
    </row>
    <row r="11" spans="1:14" x14ac:dyDescent="0.2">
      <c r="A11" s="3">
        <f>Performance!A20</f>
        <v>8</v>
      </c>
      <c r="B11" s="2">
        <f>B10+Performance!$D$9</f>
        <v>0.84999999999999987</v>
      </c>
      <c r="C11" s="2"/>
      <c r="D11" s="2"/>
      <c r="E11" s="2">
        <f>(2/PI())*ACOS(EXP(-($F$2*$D$2*(1-B11))/(2*B11*$D$2*SIN(Performance!G20*PI()/180))))</f>
        <v>0.97623230792062576</v>
      </c>
    </row>
    <row r="12" spans="1:14" x14ac:dyDescent="0.2">
      <c r="A12" s="3" t="str">
        <f>Performance!A21</f>
        <v>Tip</v>
      </c>
      <c r="B12" s="2">
        <f>B11+Performance!$D$9</f>
        <v>0.94999999999999984</v>
      </c>
      <c r="C12" s="2"/>
      <c r="D12" s="2"/>
      <c r="E12" s="2">
        <f>(2/PI())*ACOS(EXP(-($F$2*$D$2*(1-B12))/(2*B12*$D$2*SIN(Performance!G21*PI()/180))))</f>
        <v>0.82122588965909049</v>
      </c>
    </row>
    <row r="13" spans="1:14" x14ac:dyDescent="0.2">
      <c r="A13" s="3"/>
      <c r="B13" s="2"/>
      <c r="C13" s="2"/>
      <c r="D13" s="2"/>
      <c r="E13" s="2"/>
    </row>
    <row r="14" spans="1:14" x14ac:dyDescent="0.2">
      <c r="A14" s="3"/>
      <c r="B14" s="2"/>
      <c r="C14" s="2"/>
      <c r="D14" s="2"/>
      <c r="E14" s="2"/>
    </row>
    <row r="15" spans="1:14" x14ac:dyDescent="0.2">
      <c r="A15" s="3"/>
      <c r="B15" s="2"/>
      <c r="C15" s="2"/>
      <c r="D15" s="2"/>
      <c r="E15" s="2"/>
    </row>
    <row r="16" spans="1:14" x14ac:dyDescent="0.2">
      <c r="A16" s="3"/>
      <c r="B16" s="2"/>
      <c r="C16" s="2"/>
      <c r="D16" s="2"/>
      <c r="E16" s="2"/>
    </row>
    <row r="17" spans="1:5" x14ac:dyDescent="0.2">
      <c r="A17" s="3"/>
      <c r="B17" s="2"/>
      <c r="C17" s="2"/>
      <c r="D17" s="2"/>
      <c r="E17" s="2"/>
    </row>
    <row r="18" spans="1:5" x14ac:dyDescent="0.2">
      <c r="A18" s="3"/>
      <c r="B18" s="2"/>
      <c r="C18" s="2"/>
      <c r="D18" s="2"/>
      <c r="E18" s="2"/>
    </row>
    <row r="19" spans="1:5" x14ac:dyDescent="0.2">
      <c r="A19" s="3"/>
      <c r="B19" s="2"/>
      <c r="C19" s="2"/>
      <c r="D19" s="2"/>
      <c r="E19" s="2"/>
    </row>
    <row r="20" spans="1:5" x14ac:dyDescent="0.2">
      <c r="A20" s="3"/>
      <c r="B20" s="2"/>
      <c r="C20" s="2"/>
      <c r="D20" s="2"/>
      <c r="E20" s="2"/>
    </row>
    <row r="21" spans="1:5" x14ac:dyDescent="0.2">
      <c r="A21" s="3"/>
      <c r="B21" s="2"/>
      <c r="C21" s="2"/>
      <c r="D21" s="2"/>
      <c r="E21" s="2"/>
    </row>
    <row r="22" spans="1:5" x14ac:dyDescent="0.2">
      <c r="A22" s="3"/>
      <c r="B22" s="2"/>
      <c r="C22" s="2"/>
      <c r="D22" s="2"/>
      <c r="E22" s="2"/>
    </row>
    <row r="23" spans="1:5" x14ac:dyDescent="0.2">
      <c r="A23" s="3"/>
      <c r="B23" s="2"/>
      <c r="C23" s="2"/>
      <c r="D23" s="2"/>
      <c r="E23" s="2"/>
    </row>
    <row r="24" spans="1:5" x14ac:dyDescent="0.2">
      <c r="A24" s="3"/>
      <c r="B24" s="2"/>
      <c r="C24" s="2"/>
      <c r="D24" s="2"/>
      <c r="E24" s="2"/>
    </row>
    <row r="25" spans="1:5" x14ac:dyDescent="0.2">
      <c r="A25" s="3"/>
      <c r="B25" s="2"/>
      <c r="C25" s="2"/>
      <c r="D25" s="2"/>
      <c r="E25" s="2"/>
    </row>
    <row r="26" spans="1:5" x14ac:dyDescent="0.2">
      <c r="A26" s="3"/>
      <c r="B26" s="2"/>
      <c r="C26" s="2"/>
      <c r="D26" s="2"/>
      <c r="E26" s="2"/>
    </row>
    <row r="27" spans="1:5" x14ac:dyDescent="0.2">
      <c r="A27" s="3"/>
      <c r="B27" s="2"/>
      <c r="C27" s="2"/>
      <c r="D27" s="2"/>
      <c r="E27" s="2"/>
    </row>
    <row r="28" spans="1:5" x14ac:dyDescent="0.2">
      <c r="A28" s="3"/>
      <c r="B28" s="2"/>
      <c r="C28" s="2"/>
      <c r="D28" s="2"/>
      <c r="E28" s="2"/>
    </row>
    <row r="29" spans="1:5" x14ac:dyDescent="0.2">
      <c r="A29" s="3"/>
      <c r="B29" s="2"/>
      <c r="C29" s="2"/>
      <c r="D29" s="2"/>
      <c r="E29" s="2"/>
    </row>
    <row r="30" spans="1:5" x14ac:dyDescent="0.2">
      <c r="A30" s="3"/>
      <c r="B30" s="2"/>
      <c r="C30" s="2"/>
      <c r="D30" s="2"/>
      <c r="E30" s="2"/>
    </row>
    <row r="31" spans="1:5" x14ac:dyDescent="0.2">
      <c r="A31" s="3"/>
      <c r="B31" s="2"/>
      <c r="C31" s="2"/>
      <c r="D31" s="2"/>
      <c r="E31" s="2"/>
    </row>
    <row r="32" spans="1:5" x14ac:dyDescent="0.2">
      <c r="A32" s="3"/>
      <c r="B32" s="2"/>
      <c r="C32" s="2"/>
      <c r="D32" s="2"/>
      <c r="E32" s="2"/>
    </row>
    <row r="33" spans="1:5" x14ac:dyDescent="0.2">
      <c r="A33" s="3"/>
      <c r="B33" s="2"/>
      <c r="C33" s="2"/>
      <c r="D33" s="2"/>
      <c r="E33" s="2"/>
    </row>
    <row r="34" spans="1:5" x14ac:dyDescent="0.2">
      <c r="A34" s="3"/>
      <c r="B34" s="2"/>
      <c r="C34" s="2"/>
      <c r="D34" s="2"/>
      <c r="E34" s="2"/>
    </row>
    <row r="35" spans="1:5" x14ac:dyDescent="0.2">
      <c r="A35" s="3"/>
      <c r="B35" s="2"/>
      <c r="C35" s="2"/>
      <c r="D35" s="2"/>
      <c r="E35" s="2"/>
    </row>
    <row r="36" spans="1:5" x14ac:dyDescent="0.2">
      <c r="A36" s="3"/>
      <c r="B36" s="2"/>
      <c r="C36" s="2"/>
      <c r="D36" s="2"/>
      <c r="E36" s="2"/>
    </row>
    <row r="37" spans="1:5" x14ac:dyDescent="0.2">
      <c r="A37" s="3"/>
      <c r="B37" s="2"/>
      <c r="C37" s="2"/>
      <c r="D37" s="2"/>
      <c r="E37" s="2"/>
    </row>
    <row r="38" spans="1:5" x14ac:dyDescent="0.2">
      <c r="A38" s="3"/>
      <c r="B38" s="2"/>
      <c r="C38" s="2"/>
      <c r="D38" s="2"/>
      <c r="E38" s="2"/>
    </row>
    <row r="39" spans="1:5" x14ac:dyDescent="0.2">
      <c r="A39" s="3"/>
      <c r="B39" s="2"/>
      <c r="C39" s="2"/>
      <c r="D39" s="2"/>
      <c r="E39" s="2"/>
    </row>
    <row r="40" spans="1:5" x14ac:dyDescent="0.2">
      <c r="A40" s="3"/>
      <c r="B40" s="2"/>
      <c r="C40" s="2"/>
      <c r="D40" s="2"/>
      <c r="E40" s="2"/>
    </row>
    <row r="41" spans="1:5" x14ac:dyDescent="0.2">
      <c r="A41" s="3"/>
      <c r="B41" s="2"/>
      <c r="C41" s="2"/>
      <c r="D41" s="2"/>
      <c r="E41" s="2"/>
    </row>
    <row r="42" spans="1:5" x14ac:dyDescent="0.2">
      <c r="A42" s="3"/>
      <c r="B42" s="2"/>
      <c r="C42" s="2"/>
      <c r="D42" s="2"/>
      <c r="E42" s="2"/>
    </row>
  </sheetData>
  <sheetProtection algorithmName="SHA-512" hashValue="BqAwRmaWUe6uZtUeoaXiDyzX7ICuwPrRxxOiOQXm2SQqsYuaMXNUR1tT9mkF20UBoPpuFe6WZT7/5ec3f1PEzA==" saltValue="RESEbXDNuIVpNqXoc30saw==" spinCount="100000" sheet="1" objects="1" scenarios="1"/>
  <mergeCells count="1">
    <mergeCell ref="A1:F1"/>
  </mergeCells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A32EB-E3A7-43F5-9897-7C3129D61B0F}">
  <sheetPr codeName="Sheet6"/>
  <dimension ref="A1:H25"/>
  <sheetViews>
    <sheetView workbookViewId="0">
      <selection activeCell="F11" sqref="F11"/>
    </sheetView>
  </sheetViews>
  <sheetFormatPr baseColWidth="10" defaultColWidth="12.6640625" defaultRowHeight="24" customHeight="1" x14ac:dyDescent="0.2"/>
  <cols>
    <col min="1" max="16384" width="12.6640625" style="13"/>
  </cols>
  <sheetData>
    <row r="1" spans="1:8" ht="24" customHeight="1" x14ac:dyDescent="0.2">
      <c r="A1" s="9" t="s">
        <v>69</v>
      </c>
      <c r="B1" s="41"/>
      <c r="C1" s="41"/>
      <c r="D1" s="41"/>
      <c r="E1" s="41"/>
    </row>
    <row r="2" spans="1:8" ht="24" customHeight="1" x14ac:dyDescent="0.2">
      <c r="A2" s="43" t="s">
        <v>4</v>
      </c>
      <c r="B2" s="43">
        <f>BLD!B2</f>
        <v>2.8</v>
      </c>
      <c r="C2" s="112" t="s">
        <v>5</v>
      </c>
      <c r="D2" s="112"/>
      <c r="E2" s="43">
        <f>BLD!D2</f>
        <v>124.7</v>
      </c>
      <c r="G2" s="14"/>
      <c r="H2" s="43"/>
    </row>
    <row r="3" spans="1:8" s="20" customFormat="1" ht="24" customHeight="1" x14ac:dyDescent="0.2">
      <c r="A3" s="20" t="s">
        <v>49</v>
      </c>
      <c r="B3" s="20" t="s">
        <v>66</v>
      </c>
      <c r="C3" s="20" t="s">
        <v>64</v>
      </c>
      <c r="D3" s="20" t="s">
        <v>50</v>
      </c>
      <c r="E3" s="20" t="s">
        <v>65</v>
      </c>
      <c r="F3" s="20" t="s">
        <v>72</v>
      </c>
      <c r="G3" s="20" t="s">
        <v>78</v>
      </c>
    </row>
    <row r="4" spans="1:8" ht="24" customHeight="1" x14ac:dyDescent="0.2">
      <c r="A4" s="13">
        <v>4</v>
      </c>
      <c r="B4" s="42">
        <v>2.7509999999999999</v>
      </c>
      <c r="C4" s="42">
        <v>6</v>
      </c>
      <c r="D4" s="42">
        <f>C4*2*PI()/60</f>
        <v>0.62831853071795862</v>
      </c>
      <c r="E4" s="42">
        <f>$E$2*D4/A4</f>
        <v>19.587830195132362</v>
      </c>
      <c r="F4" s="44">
        <v>0.14359880038093892</v>
      </c>
      <c r="G4" s="44">
        <f>F4*(0.5*Performance!$D$4*A4^3*PI()*$E$2^2)/1000000</f>
        <v>0.27499174601894694</v>
      </c>
    </row>
    <row r="5" spans="1:8" ht="24" customHeight="1" x14ac:dyDescent="0.2">
      <c r="A5" s="13">
        <v>5</v>
      </c>
      <c r="B5" s="42">
        <v>1.966</v>
      </c>
      <c r="C5" s="42">
        <v>6</v>
      </c>
      <c r="D5" s="42">
        <f t="shared" ref="D5:D25" si="0">C5*2*PI()/60</f>
        <v>0.62831853071795862</v>
      </c>
      <c r="E5" s="42">
        <f t="shared" ref="E5:E25" si="1">$E$2*D5/A5</f>
        <v>15.67026415610589</v>
      </c>
      <c r="F5" s="44">
        <v>0.23892225782186424</v>
      </c>
      <c r="G5" s="44">
        <f>F5*(0.5*Performance!$D$4*A5^3*PI()*$E$2^2)/1000000</f>
        <v>0.89362538233326361</v>
      </c>
    </row>
    <row r="6" spans="1:8" ht="24" customHeight="1" x14ac:dyDescent="0.2">
      <c r="A6" s="13">
        <v>6</v>
      </c>
      <c r="B6" s="42">
        <v>0.89600000000000002</v>
      </c>
      <c r="C6" s="42">
        <v>6</v>
      </c>
      <c r="D6" s="42">
        <f t="shared" si="0"/>
        <v>0.62831853071795862</v>
      </c>
      <c r="E6" s="42">
        <f t="shared" si="1"/>
        <v>13.058553463421575</v>
      </c>
      <c r="F6" s="44">
        <v>0.28718246996788582</v>
      </c>
      <c r="G6" s="44">
        <f>F6*(0.5*Performance!$D$4*A6^3*PI()*$E$2^2)/1000000</f>
        <v>1.8560964933995776</v>
      </c>
    </row>
    <row r="7" spans="1:8" ht="24" customHeight="1" x14ac:dyDescent="0.2">
      <c r="A7" s="13">
        <v>7</v>
      </c>
      <c r="B7" s="42">
        <v>0</v>
      </c>
      <c r="C7" s="42">
        <v>6</v>
      </c>
      <c r="D7" s="42">
        <f t="shared" si="0"/>
        <v>0.62831853071795862</v>
      </c>
      <c r="E7" s="42">
        <f t="shared" si="1"/>
        <v>11.193045825789921</v>
      </c>
      <c r="F7" s="44">
        <v>0.3148193283818187</v>
      </c>
      <c r="G7" s="44">
        <f>F7*(0.5*Performance!$D$4*A7^3*PI()*$E$2^2)/1000000</f>
        <v>3.2310552234943133</v>
      </c>
    </row>
    <row r="8" spans="1:8" ht="24" customHeight="1" x14ac:dyDescent="0.2">
      <c r="A8" s="13">
        <v>8</v>
      </c>
      <c r="B8" s="42">
        <v>0</v>
      </c>
      <c r="C8" s="42">
        <v>6.4260000000000002</v>
      </c>
      <c r="D8" s="42">
        <f t="shared" si="0"/>
        <v>0.67292914639893375</v>
      </c>
      <c r="E8" s="42">
        <f t="shared" si="1"/>
        <v>10.48928306949338</v>
      </c>
      <c r="F8" s="44">
        <v>0.33207222588092128</v>
      </c>
      <c r="G8" s="44">
        <f>F8*(0.5*Performance!$D$4*A8^3*PI()*$E$2^2)/1000000</f>
        <v>5.087347301350519</v>
      </c>
    </row>
    <row r="9" spans="1:8" ht="24" customHeight="1" x14ac:dyDescent="0.2">
      <c r="A9" s="13">
        <v>9</v>
      </c>
      <c r="B9" s="42">
        <v>0</v>
      </c>
      <c r="C9" s="42">
        <v>7.2290000000000001</v>
      </c>
      <c r="D9" s="42">
        <f t="shared" si="0"/>
        <v>0.75701910976002051</v>
      </c>
      <c r="E9" s="42">
        <f t="shared" si="1"/>
        <v>10.488920331897173</v>
      </c>
      <c r="F9" s="44">
        <v>0.34510763256742644</v>
      </c>
      <c r="G9" s="44">
        <f>F9*(0.5*Performance!$D$4*A9^3*PI()*$E$2^2)/1000000</f>
        <v>7.5278501511545173</v>
      </c>
    </row>
    <row r="10" spans="1:8" ht="24" customHeight="1" x14ac:dyDescent="0.2">
      <c r="A10" s="13">
        <v>10</v>
      </c>
      <c r="B10" s="42">
        <v>0</v>
      </c>
      <c r="C10" s="42">
        <v>8.032</v>
      </c>
      <c r="D10" s="42">
        <f t="shared" si="0"/>
        <v>0.84110907312110728</v>
      </c>
      <c r="E10" s="42">
        <f t="shared" si="1"/>
        <v>10.488630141820208</v>
      </c>
      <c r="F10" s="44">
        <v>0.35841606924781905</v>
      </c>
      <c r="G10" s="44">
        <f>F10*(0.5*Performance!$D$4*A10^3*PI()*$E$2^2)/1000000</f>
        <v>10.724482510282304</v>
      </c>
    </row>
    <row r="11" spans="1:8" ht="24" customHeight="1" x14ac:dyDescent="0.2">
      <c r="A11" s="13">
        <v>11</v>
      </c>
      <c r="B11" s="42">
        <v>0</v>
      </c>
      <c r="C11" s="42">
        <v>8.8360000000000003</v>
      </c>
      <c r="D11" s="42">
        <f t="shared" si="0"/>
        <v>0.92530375623731376</v>
      </c>
      <c r="E11" s="42">
        <f t="shared" si="1"/>
        <v>10.489579854799366</v>
      </c>
      <c r="F11" s="44">
        <v>0.3728556856600454</v>
      </c>
      <c r="G11" s="44">
        <f>F11*(0.5*Performance!$D$4*A11^3*PI()*$E$2^2)/1000000</f>
        <v>14.849358700566508</v>
      </c>
    </row>
    <row r="12" spans="1:8" ht="24" customHeight="1" x14ac:dyDescent="0.2">
      <c r="A12" s="13">
        <v>12</v>
      </c>
      <c r="B12" s="42">
        <v>4.5019999999999998</v>
      </c>
      <c r="C12" s="42">
        <v>9.6</v>
      </c>
      <c r="D12" s="42">
        <f t="shared" si="0"/>
        <v>1.0053096491487339</v>
      </c>
      <c r="E12" s="42">
        <f t="shared" si="1"/>
        <v>10.446842770737261</v>
      </c>
      <c r="F12" s="44">
        <v>0.37361713064710333</v>
      </c>
      <c r="G12" s="44">
        <f>F12*(0.5*Performance!$D$4*A12^3*PI()*$E$2^2)/1000000</f>
        <v>19.317876781146079</v>
      </c>
    </row>
    <row r="13" spans="1:8" ht="24" customHeight="1" x14ac:dyDescent="0.2">
      <c r="A13" s="13">
        <v>13</v>
      </c>
      <c r="B13" s="42">
        <v>7.266</v>
      </c>
      <c r="C13" s="42">
        <v>9.6</v>
      </c>
      <c r="D13" s="42">
        <f t="shared" si="0"/>
        <v>1.0053096491487339</v>
      </c>
      <c r="E13" s="42">
        <f t="shared" si="1"/>
        <v>9.6432394806805473</v>
      </c>
      <c r="F13" s="44">
        <v>0.3152962703258485</v>
      </c>
      <c r="G13" s="44">
        <f>F13*(0.5*Performance!$D$4*A13^3*PI()*$E$2^2)/1000000</f>
        <v>20.727062791150715</v>
      </c>
    </row>
    <row r="14" spans="1:8" ht="24" customHeight="1" x14ac:dyDescent="0.2">
      <c r="A14" s="13">
        <v>14</v>
      </c>
      <c r="B14" s="42">
        <v>9.2919999999999998</v>
      </c>
      <c r="C14" s="42">
        <v>9.6</v>
      </c>
      <c r="D14" s="42">
        <f t="shared" si="0"/>
        <v>1.0053096491487339</v>
      </c>
      <c r="E14" s="42">
        <f t="shared" si="1"/>
        <v>8.9544366606319379</v>
      </c>
      <c r="F14" s="44">
        <v>0.25244384326016372</v>
      </c>
      <c r="G14" s="44">
        <f>F14*(0.5*Performance!$D$4*A14^3*PI()*$E$2^2)/1000000</f>
        <v>20.727062791150715</v>
      </c>
    </row>
    <row r="15" spans="1:8" ht="24" customHeight="1" x14ac:dyDescent="0.2">
      <c r="A15" s="13">
        <v>15</v>
      </c>
      <c r="B15" s="42">
        <v>10.958</v>
      </c>
      <c r="C15" s="42">
        <v>9.6</v>
      </c>
      <c r="D15" s="42">
        <f t="shared" si="0"/>
        <v>1.0053096491487339</v>
      </c>
      <c r="E15" s="42">
        <f t="shared" si="1"/>
        <v>8.357474216589809</v>
      </c>
      <c r="F15" s="44">
        <v>0.2052461943424857</v>
      </c>
      <c r="G15" s="44">
        <f>F15*(0.5*Performance!$D$4*A15^3*PI()*$E$2^2)/1000000</f>
        <v>20.727062791150715</v>
      </c>
    </row>
    <row r="16" spans="1:8" ht="24" customHeight="1" x14ac:dyDescent="0.2">
      <c r="A16" s="13">
        <v>16</v>
      </c>
      <c r="B16" s="42">
        <v>12.499000000000001</v>
      </c>
      <c r="C16" s="42">
        <v>9.6</v>
      </c>
      <c r="D16" s="42">
        <f t="shared" si="0"/>
        <v>1.0053096491487339</v>
      </c>
      <c r="E16" s="42">
        <f t="shared" si="1"/>
        <v>7.8351320780529452</v>
      </c>
      <c r="F16" s="44">
        <v>0.16911765280905497</v>
      </c>
      <c r="G16" s="44">
        <f>F16*(0.5*Performance!$D$4*A16^3*PI()*$E$2^2)/1000000</f>
        <v>20.727062791150715</v>
      </c>
    </row>
    <row r="17" spans="1:7" ht="24" customHeight="1" x14ac:dyDescent="0.2">
      <c r="A17" s="13">
        <v>17</v>
      </c>
      <c r="B17" s="42">
        <v>13.896000000000001</v>
      </c>
      <c r="C17" s="42">
        <v>9.6</v>
      </c>
      <c r="D17" s="42">
        <f t="shared" si="0"/>
        <v>1.0053096491487339</v>
      </c>
      <c r="E17" s="42">
        <f t="shared" si="1"/>
        <v>7.3742419558145365</v>
      </c>
      <c r="F17" s="44">
        <v>0.14099448522407676</v>
      </c>
      <c r="G17" s="44">
        <f>F17*(0.5*Performance!$D$4*A17^3*PI()*$E$2^2)/1000000</f>
        <v>20.727062791150711</v>
      </c>
    </row>
    <row r="18" spans="1:7" ht="24" customHeight="1" x14ac:dyDescent="0.2">
      <c r="A18" s="13">
        <v>18</v>
      </c>
      <c r="B18" s="42">
        <v>15.2</v>
      </c>
      <c r="C18" s="42">
        <v>9.6</v>
      </c>
      <c r="D18" s="42">
        <f t="shared" si="0"/>
        <v>1.0053096491487339</v>
      </c>
      <c r="E18" s="42">
        <f t="shared" si="1"/>
        <v>6.9645618471581736</v>
      </c>
      <c r="F18" s="44">
        <v>0.11877673283708662</v>
      </c>
      <c r="G18" s="44">
        <f>F18*(0.5*Performance!$D$4*A18^3*PI()*$E$2^2)/1000000</f>
        <v>20.727062791150715</v>
      </c>
    </row>
    <row r="19" spans="1:7" ht="24" customHeight="1" x14ac:dyDescent="0.2">
      <c r="A19" s="13">
        <v>19</v>
      </c>
      <c r="B19" s="42">
        <v>16.431999999999999</v>
      </c>
      <c r="C19" s="42">
        <v>9.6</v>
      </c>
      <c r="D19" s="42">
        <f t="shared" si="0"/>
        <v>1.0053096491487339</v>
      </c>
      <c r="E19" s="42">
        <f t="shared" si="1"/>
        <v>6.5980059604656383</v>
      </c>
      <c r="F19" s="44">
        <v>0.10099225920774006</v>
      </c>
      <c r="G19" s="44">
        <f>F19*(0.5*Performance!$D$4*A19^3*PI()*$E$2^2)/1000000</f>
        <v>20.727062791150711</v>
      </c>
    </row>
    <row r="20" spans="1:7" ht="24" customHeight="1" x14ac:dyDescent="0.2">
      <c r="A20" s="13">
        <v>20</v>
      </c>
      <c r="B20" s="42">
        <v>17.617999999999999</v>
      </c>
      <c r="C20" s="42">
        <v>9.6</v>
      </c>
      <c r="D20" s="42">
        <f t="shared" si="0"/>
        <v>1.0053096491487339</v>
      </c>
      <c r="E20" s="42">
        <f t="shared" si="1"/>
        <v>6.2681056624423563</v>
      </c>
      <c r="F20" s="44">
        <v>8.6588238238236151E-2</v>
      </c>
      <c r="G20" s="44">
        <f>F20*(0.5*Performance!$D$4*A20^3*PI()*$E$2^2)/1000000</f>
        <v>20.727062791150715</v>
      </c>
    </row>
    <row r="21" spans="1:7" ht="24" customHeight="1" x14ac:dyDescent="0.2">
      <c r="A21" s="13">
        <v>21</v>
      </c>
      <c r="B21" s="42">
        <v>18.757999999999999</v>
      </c>
      <c r="C21" s="42">
        <v>9.6</v>
      </c>
      <c r="D21" s="42">
        <f t="shared" si="0"/>
        <v>1.0053096491487339</v>
      </c>
      <c r="E21" s="42">
        <f t="shared" si="1"/>
        <v>5.9696244404212919</v>
      </c>
      <c r="F21" s="44">
        <v>7.4798175780789247E-2</v>
      </c>
      <c r="G21" s="44">
        <f>F21*(0.5*Performance!$D$4*A21^3*PI()*$E$2^2)/1000000</f>
        <v>20.727062791150715</v>
      </c>
    </row>
    <row r="22" spans="1:7" ht="24" customHeight="1" x14ac:dyDescent="0.2">
      <c r="A22" s="13">
        <v>22</v>
      </c>
      <c r="B22" s="42">
        <v>19.86</v>
      </c>
      <c r="C22" s="42">
        <v>9.6</v>
      </c>
      <c r="D22" s="42">
        <f t="shared" si="0"/>
        <v>1.0053096491487339</v>
      </c>
      <c r="E22" s="42">
        <f t="shared" si="1"/>
        <v>5.6982778749475962</v>
      </c>
      <c r="F22" s="44">
        <v>6.5055024972378778E-2</v>
      </c>
      <c r="G22" s="44">
        <f>F22*(0.5*Performance!$D$4*A22^3*PI()*$E$2^2)/1000000</f>
        <v>20.727062791150715</v>
      </c>
    </row>
    <row r="23" spans="1:7" ht="24" customHeight="1" x14ac:dyDescent="0.2">
      <c r="A23" s="13">
        <v>23</v>
      </c>
      <c r="B23" s="42">
        <v>20.927</v>
      </c>
      <c r="C23" s="42">
        <v>9.6</v>
      </c>
      <c r="D23" s="42">
        <f t="shared" si="0"/>
        <v>1.0053096491487339</v>
      </c>
      <c r="E23" s="42">
        <f t="shared" si="1"/>
        <v>5.4505266629933535</v>
      </c>
      <c r="F23" s="44">
        <v>5.6933172179328445E-2</v>
      </c>
      <c r="G23" s="44">
        <f>F23*(0.5*Performance!$D$4*A23^3*PI()*$E$2^2)/1000000</f>
        <v>20.727062791150715</v>
      </c>
    </row>
    <row r="24" spans="1:7" ht="24" customHeight="1" x14ac:dyDescent="0.2">
      <c r="A24" s="13">
        <v>24</v>
      </c>
      <c r="B24" s="42">
        <v>21.963000000000001</v>
      </c>
      <c r="C24" s="42">
        <v>9.6</v>
      </c>
      <c r="D24" s="42">
        <f t="shared" si="0"/>
        <v>1.0053096491487339</v>
      </c>
      <c r="E24" s="42">
        <f t="shared" si="1"/>
        <v>5.2234213853686304</v>
      </c>
      <c r="F24" s="44">
        <v>5.0108934165645914E-2</v>
      </c>
      <c r="G24" s="44">
        <f>F24*(0.5*Performance!$D$4*A24^3*PI()*$E$2^2)/1000000</f>
        <v>20.727062791150711</v>
      </c>
    </row>
    <row r="25" spans="1:7" ht="24" customHeight="1" x14ac:dyDescent="0.2">
      <c r="A25" s="13">
        <v>25</v>
      </c>
      <c r="B25" s="42">
        <v>22.975000000000001</v>
      </c>
      <c r="C25" s="42">
        <v>9.6</v>
      </c>
      <c r="D25" s="42">
        <f t="shared" si="0"/>
        <v>1.0053096491487339</v>
      </c>
      <c r="E25" s="42">
        <f t="shared" si="1"/>
        <v>5.0144845299538847</v>
      </c>
      <c r="F25" s="44">
        <v>4.4333177977976916E-2</v>
      </c>
      <c r="G25" s="44">
        <f>F25*(0.5*Performance!$D$4*A25^3*PI()*$E$2^2)/1000000</f>
        <v>20.727062791150718</v>
      </c>
    </row>
  </sheetData>
  <mergeCells count="1">
    <mergeCell ref="C2:D2"/>
  </mergeCells>
  <phoneticPr fontId="1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98E4-849D-48D0-9BF3-446583FBDFFB}">
  <sheetPr codeName="Sheet5"/>
  <dimension ref="A1:H25"/>
  <sheetViews>
    <sheetView tabSelected="1" zoomScale="75" workbookViewId="0">
      <selection activeCell="G30" sqref="G30"/>
    </sheetView>
  </sheetViews>
  <sheetFormatPr baseColWidth="10" defaultColWidth="12.6640625" defaultRowHeight="24" customHeight="1" x14ac:dyDescent="0.2"/>
  <cols>
    <col min="1" max="16384" width="12.6640625" style="13"/>
  </cols>
  <sheetData>
    <row r="1" spans="1:8" ht="24" customHeight="1" x14ac:dyDescent="0.2">
      <c r="A1" s="9" t="s">
        <v>69</v>
      </c>
      <c r="B1" s="41"/>
      <c r="C1" s="41"/>
      <c r="D1" s="41"/>
      <c r="E1" s="41"/>
    </row>
    <row r="2" spans="1:8" ht="24" customHeight="1" x14ac:dyDescent="0.2">
      <c r="A2" s="43" t="s">
        <v>4</v>
      </c>
      <c r="B2" s="43">
        <f>BLD!B2</f>
        <v>2.8</v>
      </c>
      <c r="C2" s="112" t="s">
        <v>5</v>
      </c>
      <c r="D2" s="112"/>
      <c r="E2" s="43">
        <f>BLD!D2</f>
        <v>124.7</v>
      </c>
      <c r="G2" s="14"/>
      <c r="H2" s="43"/>
    </row>
    <row r="3" spans="1:8" s="20" customFormat="1" ht="24" customHeight="1" x14ac:dyDescent="0.2">
      <c r="A3" s="20" t="s">
        <v>49</v>
      </c>
      <c r="B3" s="70" t="s">
        <v>66</v>
      </c>
      <c r="C3" s="70" t="s">
        <v>65</v>
      </c>
      <c r="D3" s="20" t="s">
        <v>50</v>
      </c>
      <c r="E3" s="20" t="s">
        <v>64</v>
      </c>
      <c r="F3" s="70" t="s">
        <v>72</v>
      </c>
      <c r="G3" s="70" t="s">
        <v>78</v>
      </c>
    </row>
    <row r="4" spans="1:8" ht="24" customHeight="1" x14ac:dyDescent="0.2">
      <c r="A4" s="13">
        <v>4</v>
      </c>
      <c r="B4" s="71">
        <v>0</v>
      </c>
      <c r="C4" s="71">
        <v>9.14</v>
      </c>
      <c r="D4" s="42">
        <f>C4*A4/$E$2</f>
        <v>0.29318364073777065</v>
      </c>
      <c r="E4" s="42">
        <f>D4*60/(2*PI())</f>
        <v>2.7996975394256749</v>
      </c>
      <c r="F4" s="66">
        <v>0.48499999999999999</v>
      </c>
      <c r="G4" s="66">
        <f>F4*(0.5*Performance!$D$4*A4^3*PI()*$E$2^2)/1000000</f>
        <v>0.928775146208622</v>
      </c>
    </row>
    <row r="5" spans="1:8" ht="24" customHeight="1" x14ac:dyDescent="0.2">
      <c r="A5" s="13">
        <v>5</v>
      </c>
      <c r="B5" s="71">
        <v>0</v>
      </c>
      <c r="C5" s="71">
        <v>9.14</v>
      </c>
      <c r="D5" s="42">
        <f t="shared" ref="D5:D25" si="0">C5*A5/$E$2</f>
        <v>0.36647955092221335</v>
      </c>
      <c r="E5" s="42">
        <f t="shared" ref="E5:E25" si="1">D5*60/(2*PI())</f>
        <v>3.4996219242820934</v>
      </c>
      <c r="F5" s="66">
        <v>0.48499999999999999</v>
      </c>
      <c r="G5" s="66">
        <f>F5*(0.5*Performance!$D$4*A5^3*PI()*$E$2^2)/1000000</f>
        <v>1.8140139574387149</v>
      </c>
    </row>
    <row r="6" spans="1:8" ht="24" customHeight="1" x14ac:dyDescent="0.2">
      <c r="A6" s="13">
        <v>6</v>
      </c>
      <c r="B6" s="71">
        <v>0</v>
      </c>
      <c r="C6" s="71">
        <v>9.14</v>
      </c>
      <c r="D6" s="42">
        <f t="shared" si="0"/>
        <v>0.439775461106656</v>
      </c>
      <c r="E6" s="42">
        <f t="shared" si="1"/>
        <v>4.1995463091385119</v>
      </c>
      <c r="F6" s="66">
        <v>0.48499999999999999</v>
      </c>
      <c r="G6" s="66">
        <f>F6*(0.5*Performance!$D$4*A6^3*PI()*$E$2^2)/1000000</f>
        <v>3.1346161184540993</v>
      </c>
    </row>
    <row r="7" spans="1:8" ht="24" customHeight="1" x14ac:dyDescent="0.2">
      <c r="A7" s="13">
        <v>7</v>
      </c>
      <c r="B7" s="71">
        <v>0</v>
      </c>
      <c r="C7" s="71">
        <v>9.14</v>
      </c>
      <c r="D7" s="42">
        <f t="shared" si="0"/>
        <v>0.5130713712910987</v>
      </c>
      <c r="E7" s="42">
        <f t="shared" si="1"/>
        <v>4.8994706939949317</v>
      </c>
      <c r="F7" s="66">
        <v>0.48499999999999999</v>
      </c>
      <c r="G7" s="66">
        <f>F7*(0.5*Performance!$D$4*A7^3*PI()*$E$2^2)/1000000</f>
        <v>4.9776542992118333</v>
      </c>
    </row>
    <row r="8" spans="1:8" ht="24" customHeight="1" x14ac:dyDescent="0.2">
      <c r="A8" s="13">
        <v>8</v>
      </c>
      <c r="B8" s="71">
        <v>0</v>
      </c>
      <c r="C8" s="71">
        <v>9.14</v>
      </c>
      <c r="D8" s="42">
        <f t="shared" si="0"/>
        <v>0.58636728147554129</v>
      </c>
      <c r="E8" s="42">
        <f t="shared" si="1"/>
        <v>5.5993950788513498</v>
      </c>
      <c r="F8" s="66">
        <v>0.48499999999999999</v>
      </c>
      <c r="G8" s="66">
        <f>F8*(0.5*Performance!$D$4*A8^3*PI()*$E$2^2)/1000000</f>
        <v>7.430201169668976</v>
      </c>
    </row>
    <row r="9" spans="1:8" ht="24" customHeight="1" x14ac:dyDescent="0.2">
      <c r="A9" s="13">
        <v>9</v>
      </c>
      <c r="B9" s="71">
        <v>0</v>
      </c>
      <c r="C9" s="71">
        <v>9.14</v>
      </c>
      <c r="D9" s="42">
        <f t="shared" si="0"/>
        <v>0.65966319165998399</v>
      </c>
      <c r="E9" s="42">
        <f t="shared" si="1"/>
        <v>6.2993194637077679</v>
      </c>
      <c r="F9" s="66">
        <v>0.48499999999999999</v>
      </c>
      <c r="G9" s="66">
        <f>F9*(0.5*Performance!$D$4*A9^3*PI()*$E$2^2)/1000000</f>
        <v>10.579329399782587</v>
      </c>
    </row>
    <row r="10" spans="1:8" ht="24" customHeight="1" x14ac:dyDescent="0.2">
      <c r="A10" s="13">
        <v>10</v>
      </c>
      <c r="B10" s="71">
        <v>0</v>
      </c>
      <c r="C10" s="71">
        <v>9.14</v>
      </c>
      <c r="D10" s="42">
        <f t="shared" si="0"/>
        <v>0.7329591018444267</v>
      </c>
      <c r="E10" s="42">
        <f t="shared" si="1"/>
        <v>6.9992438485641868</v>
      </c>
      <c r="F10" s="66">
        <v>0.48499999999999999</v>
      </c>
      <c r="G10" s="66">
        <f>F10*(0.5*Performance!$D$4*A10^3*PI()*$E$2^2)/1000000</f>
        <v>14.512111659509719</v>
      </c>
    </row>
    <row r="11" spans="1:8" ht="24" customHeight="1" x14ac:dyDescent="0.2">
      <c r="A11" s="13">
        <v>11</v>
      </c>
      <c r="B11" s="71">
        <v>0</v>
      </c>
      <c r="C11" s="71">
        <v>9.14</v>
      </c>
      <c r="D11" s="42">
        <f t="shared" si="0"/>
        <v>0.80625501202886929</v>
      </c>
      <c r="E11" s="42">
        <f t="shared" si="1"/>
        <v>7.6991682334206057</v>
      </c>
      <c r="F11" s="66">
        <v>0.48499999999999999</v>
      </c>
      <c r="G11" s="66">
        <f>F11*(0.5*Performance!$D$4*A11^3*PI()*$E$2^2)/1000000</f>
        <v>19.315620618807436</v>
      </c>
    </row>
    <row r="12" spans="1:8" ht="24" customHeight="1" x14ac:dyDescent="0.2">
      <c r="A12" s="13">
        <v>12</v>
      </c>
      <c r="B12" s="71">
        <v>4.5019999999999998</v>
      </c>
      <c r="C12" s="71">
        <v>9.6</v>
      </c>
      <c r="D12" s="42">
        <f t="shared" si="0"/>
        <v>0.92381716118684831</v>
      </c>
      <c r="E12" s="42">
        <f t="shared" si="1"/>
        <v>8.821804062960549</v>
      </c>
      <c r="F12" s="66">
        <v>0.48499999999999999</v>
      </c>
      <c r="G12" s="66">
        <f>F12*(0.5*Performance!$D$4*A12^3*PI()*$E$2^2)/1000000</f>
        <v>25.076928947632794</v>
      </c>
    </row>
    <row r="13" spans="1:8" ht="24" customHeight="1" x14ac:dyDescent="0.2">
      <c r="A13" s="13">
        <v>13</v>
      </c>
      <c r="B13" s="71">
        <v>7.266</v>
      </c>
      <c r="C13" s="71">
        <v>9.6</v>
      </c>
      <c r="D13" s="42">
        <f t="shared" si="0"/>
        <v>1.0008019246190858</v>
      </c>
      <c r="E13" s="42">
        <f t="shared" si="1"/>
        <v>9.5569544015405956</v>
      </c>
      <c r="F13" s="66">
        <f t="shared" ref="F13:F25" si="2">G13*2*1000000/(A13^3*PI()*$E$2^2*1.225)</f>
        <v>0.38146563495675923</v>
      </c>
      <c r="G13" s="44">
        <f t="shared" ref="G10:G25" si="3">G12</f>
        <v>25.076928947632794</v>
      </c>
    </row>
    <row r="14" spans="1:8" ht="24" customHeight="1" x14ac:dyDescent="0.2">
      <c r="A14" s="13">
        <v>14</v>
      </c>
      <c r="B14" s="71">
        <v>9.2919999999999998</v>
      </c>
      <c r="C14" s="71">
        <v>9.6</v>
      </c>
      <c r="D14" s="42">
        <f t="shared" si="0"/>
        <v>1.0777866880513232</v>
      </c>
      <c r="E14" s="42">
        <f t="shared" si="1"/>
        <v>10.292104740120642</v>
      </c>
      <c r="F14" s="66">
        <f t="shared" si="2"/>
        <v>0.3054227405247813</v>
      </c>
      <c r="G14" s="44">
        <f t="shared" si="3"/>
        <v>25.076928947632794</v>
      </c>
    </row>
    <row r="15" spans="1:8" ht="24" customHeight="1" x14ac:dyDescent="0.2">
      <c r="A15" s="13">
        <v>15</v>
      </c>
      <c r="B15" s="71">
        <v>10.958</v>
      </c>
      <c r="C15" s="71">
        <v>9.6</v>
      </c>
      <c r="D15" s="42">
        <f t="shared" si="0"/>
        <v>1.1547714514835605</v>
      </c>
      <c r="E15" s="42">
        <f t="shared" si="1"/>
        <v>11.027255078700687</v>
      </c>
      <c r="F15" s="66">
        <f t="shared" si="2"/>
        <v>0.24832000000000001</v>
      </c>
      <c r="G15" s="44">
        <f t="shared" si="3"/>
        <v>25.076928947632794</v>
      </c>
    </row>
    <row r="16" spans="1:8" ht="24" customHeight="1" x14ac:dyDescent="0.2">
      <c r="A16" s="13">
        <v>16</v>
      </c>
      <c r="B16" s="71">
        <v>12.499000000000001</v>
      </c>
      <c r="C16" s="71">
        <v>9.6</v>
      </c>
      <c r="D16" s="42">
        <f t="shared" si="0"/>
        <v>1.2317562149157979</v>
      </c>
      <c r="E16" s="42">
        <f t="shared" si="1"/>
        <v>11.762405417280734</v>
      </c>
      <c r="F16" s="66">
        <f t="shared" si="2"/>
        <v>0.20460937500000001</v>
      </c>
      <c r="G16" s="44">
        <f t="shared" si="3"/>
        <v>25.076928947632794</v>
      </c>
    </row>
    <row r="17" spans="1:7" ht="24" customHeight="1" x14ac:dyDescent="0.2">
      <c r="A17" s="13">
        <v>17</v>
      </c>
      <c r="B17" s="71">
        <v>13.896000000000001</v>
      </c>
      <c r="C17" s="71">
        <v>9.6</v>
      </c>
      <c r="D17" s="42">
        <f t="shared" si="0"/>
        <v>1.3087409783480353</v>
      </c>
      <c r="E17" s="42">
        <f t="shared" si="1"/>
        <v>12.49755575586078</v>
      </c>
      <c r="F17" s="66">
        <f t="shared" si="2"/>
        <v>0.17058416446163238</v>
      </c>
      <c r="G17" s="44">
        <f t="shared" si="3"/>
        <v>25.076928947632794</v>
      </c>
    </row>
    <row r="18" spans="1:7" ht="24" customHeight="1" x14ac:dyDescent="0.2">
      <c r="A18" s="13">
        <v>18</v>
      </c>
      <c r="B18" s="71">
        <v>15.2</v>
      </c>
      <c r="C18" s="71">
        <v>9.6</v>
      </c>
      <c r="D18" s="42">
        <f t="shared" si="0"/>
        <v>1.3857257417802724</v>
      </c>
      <c r="E18" s="42">
        <f t="shared" si="1"/>
        <v>13.232706094440822</v>
      </c>
      <c r="F18" s="66">
        <f t="shared" si="2"/>
        <v>0.14370370370370369</v>
      </c>
      <c r="G18" s="44">
        <f t="shared" si="3"/>
        <v>25.076928947632794</v>
      </c>
    </row>
    <row r="19" spans="1:7" ht="24" customHeight="1" x14ac:dyDescent="0.2">
      <c r="A19" s="13">
        <v>19</v>
      </c>
      <c r="B19" s="71">
        <v>16.431999999999999</v>
      </c>
      <c r="C19" s="71">
        <v>9.6</v>
      </c>
      <c r="D19" s="42">
        <f t="shared" si="0"/>
        <v>1.46271050521251</v>
      </c>
      <c r="E19" s="42">
        <f t="shared" si="1"/>
        <v>13.967856433020872</v>
      </c>
      <c r="F19" s="66">
        <f t="shared" si="2"/>
        <v>0.12218690771249452</v>
      </c>
      <c r="G19" s="44">
        <f t="shared" si="3"/>
        <v>25.076928947632794</v>
      </c>
    </row>
    <row r="20" spans="1:7" ht="24" customHeight="1" x14ac:dyDescent="0.2">
      <c r="A20" s="13">
        <v>20</v>
      </c>
      <c r="B20" s="71">
        <v>17.617999999999999</v>
      </c>
      <c r="C20" s="71">
        <v>9.6</v>
      </c>
      <c r="D20" s="42">
        <f t="shared" si="0"/>
        <v>1.5396952686447474</v>
      </c>
      <c r="E20" s="42">
        <f t="shared" si="1"/>
        <v>14.703006771600915</v>
      </c>
      <c r="F20" s="66">
        <f t="shared" si="2"/>
        <v>0.10475999999999999</v>
      </c>
      <c r="G20" s="44">
        <f t="shared" si="3"/>
        <v>25.076928947632794</v>
      </c>
    </row>
    <row r="21" spans="1:7" ht="24" customHeight="1" x14ac:dyDescent="0.2">
      <c r="A21" s="13">
        <v>21</v>
      </c>
      <c r="B21" s="71">
        <v>18.757999999999999</v>
      </c>
      <c r="C21" s="71">
        <v>9.6</v>
      </c>
      <c r="D21" s="42">
        <f t="shared" si="0"/>
        <v>1.6166800320769847</v>
      </c>
      <c r="E21" s="42">
        <f t="shared" si="1"/>
        <v>15.438157110180962</v>
      </c>
      <c r="F21" s="66">
        <f t="shared" si="2"/>
        <v>9.0495626822157449E-2</v>
      </c>
      <c r="G21" s="44">
        <f t="shared" si="3"/>
        <v>25.076928947632794</v>
      </c>
    </row>
    <row r="22" spans="1:7" ht="24" customHeight="1" x14ac:dyDescent="0.2">
      <c r="A22" s="13">
        <v>22</v>
      </c>
      <c r="B22" s="71">
        <v>19.86</v>
      </c>
      <c r="C22" s="71">
        <v>9.6</v>
      </c>
      <c r="D22" s="42">
        <f t="shared" si="0"/>
        <v>1.6936647955092221</v>
      </c>
      <c r="E22" s="42">
        <f t="shared" si="1"/>
        <v>16.173307448761008</v>
      </c>
      <c r="F22" s="66">
        <f t="shared" si="2"/>
        <v>7.8707738542449293E-2</v>
      </c>
      <c r="G22" s="44">
        <f t="shared" si="3"/>
        <v>25.076928947632794</v>
      </c>
    </row>
    <row r="23" spans="1:7" ht="24" customHeight="1" x14ac:dyDescent="0.2">
      <c r="A23" s="13">
        <v>23</v>
      </c>
      <c r="B23" s="71">
        <v>20.927</v>
      </c>
      <c r="C23" s="71">
        <v>9.6</v>
      </c>
      <c r="D23" s="42">
        <f t="shared" si="0"/>
        <v>1.7706495589414593</v>
      </c>
      <c r="E23" s="42">
        <f t="shared" si="1"/>
        <v>16.90845778734105</v>
      </c>
      <c r="F23" s="66">
        <f t="shared" si="2"/>
        <v>6.8881400509575086E-2</v>
      </c>
      <c r="G23" s="44">
        <f t="shared" si="3"/>
        <v>25.076928947632794</v>
      </c>
    </row>
    <row r="24" spans="1:7" ht="24" customHeight="1" x14ac:dyDescent="0.2">
      <c r="A24" s="13">
        <v>24</v>
      </c>
      <c r="B24" s="71">
        <v>21.963000000000001</v>
      </c>
      <c r="C24" s="71">
        <v>9.6</v>
      </c>
      <c r="D24" s="42">
        <f t="shared" si="0"/>
        <v>1.8476343223736966</v>
      </c>
      <c r="E24" s="42">
        <f t="shared" si="1"/>
        <v>17.643608125921098</v>
      </c>
      <c r="F24" s="66">
        <f t="shared" si="2"/>
        <v>6.0625000000000005E-2</v>
      </c>
      <c r="G24" s="44">
        <f t="shared" si="3"/>
        <v>25.076928947632794</v>
      </c>
    </row>
    <row r="25" spans="1:7" ht="24" customHeight="1" x14ac:dyDescent="0.2">
      <c r="A25" s="13">
        <v>25</v>
      </c>
      <c r="B25" s="71">
        <v>22.975000000000001</v>
      </c>
      <c r="C25" s="71">
        <v>9.6</v>
      </c>
      <c r="D25" s="42">
        <f t="shared" si="0"/>
        <v>1.9246190858059342</v>
      </c>
      <c r="E25" s="42">
        <f t="shared" si="1"/>
        <v>18.378758464501146</v>
      </c>
      <c r="F25" s="66">
        <f t="shared" si="2"/>
        <v>5.3637120000000003E-2</v>
      </c>
      <c r="G25" s="44">
        <f t="shared" si="3"/>
        <v>25.076928947632794</v>
      </c>
    </row>
  </sheetData>
  <mergeCells count="1">
    <mergeCell ref="C2:D2"/>
  </mergeCells>
  <phoneticPr fontId="1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F76A-B8C2-40F7-BE9D-20BD5D7F13BE}">
  <sheetPr codeName="Sheet8"/>
  <dimension ref="A1:G27"/>
  <sheetViews>
    <sheetView workbookViewId="0">
      <selection activeCell="H19" sqref="H19"/>
    </sheetView>
  </sheetViews>
  <sheetFormatPr baseColWidth="10" defaultColWidth="12.6640625" defaultRowHeight="24" customHeight="1" x14ac:dyDescent="0.2"/>
  <cols>
    <col min="1" max="4" width="12.6640625" style="13"/>
    <col min="6" max="6" width="12.6640625" style="13"/>
    <col min="7" max="7" width="15.5" style="13" bestFit="1" customWidth="1"/>
    <col min="8" max="16384" width="12.6640625" style="13"/>
  </cols>
  <sheetData>
    <row r="1" spans="1:7" ht="24" customHeight="1" x14ac:dyDescent="0.2">
      <c r="A1" s="9" t="s">
        <v>75</v>
      </c>
    </row>
    <row r="2" spans="1:7" s="20" customFormat="1" ht="24" customHeight="1" x14ac:dyDescent="0.2">
      <c r="A2" s="20" t="s">
        <v>71</v>
      </c>
      <c r="B2" s="20" t="s">
        <v>70</v>
      </c>
      <c r="C2" s="70" t="s">
        <v>80</v>
      </c>
      <c r="D2" s="20" t="s">
        <v>82</v>
      </c>
      <c r="G2" s="121" t="s">
        <v>81</v>
      </c>
    </row>
    <row r="3" spans="1:7" ht="24" customHeight="1" x14ac:dyDescent="0.2">
      <c r="A3" s="46">
        <v>0.5</v>
      </c>
      <c r="B3" s="44">
        <f t="shared" ref="B3:B27" si="0">$G$15/$G$16*((A3/$G$16)^($G$15-1))*EXP(-((A3/$G$16)^$G$15))</f>
        <v>1.5982955844195752E-5</v>
      </c>
      <c r="C3" s="66">
        <v>0</v>
      </c>
      <c r="D3" s="44">
        <f>C3*B3</f>
        <v>0</v>
      </c>
      <c r="G3" s="122"/>
    </row>
    <row r="4" spans="1:7" ht="24" customHeight="1" x14ac:dyDescent="0.2">
      <c r="A4" s="46">
        <v>1.5</v>
      </c>
      <c r="B4" s="44">
        <f t="shared" si="0"/>
        <v>6.499665984162138E-4</v>
      </c>
      <c r="C4" s="66">
        <v>0</v>
      </c>
      <c r="D4" s="44">
        <f t="shared" ref="D4:D23" si="1">C4*B4</f>
        <v>0</v>
      </c>
      <c r="F4" s="45"/>
      <c r="G4" s="54">
        <f ca="1">SUM(D7:D27)</f>
        <v>13.181078159817908</v>
      </c>
    </row>
    <row r="5" spans="1:7" ht="24" customHeight="1" x14ac:dyDescent="0.2">
      <c r="A5" s="46">
        <v>2.5</v>
      </c>
      <c r="B5" s="44">
        <f t="shared" si="0"/>
        <v>3.63395539915078E-3</v>
      </c>
      <c r="C5" s="66">
        <v>0</v>
      </c>
      <c r="D5" s="44">
        <f t="shared" si="1"/>
        <v>0</v>
      </c>
      <c r="G5" s="123" t="s">
        <v>83</v>
      </c>
    </row>
    <row r="6" spans="1:7" ht="24" customHeight="1" x14ac:dyDescent="0.2">
      <c r="A6" s="46">
        <v>3.5</v>
      </c>
      <c r="B6" s="44">
        <f t="shared" si="0"/>
        <v>1.1226279419170742E-2</v>
      </c>
      <c r="C6" s="66">
        <v>0</v>
      </c>
      <c r="D6" s="44">
        <f t="shared" si="1"/>
        <v>0</v>
      </c>
      <c r="G6" s="123"/>
    </row>
    <row r="7" spans="1:7" ht="24" customHeight="1" x14ac:dyDescent="0.2">
      <c r="A7" s="46">
        <v>4.5</v>
      </c>
      <c r="B7" s="44">
        <f t="shared" si="0"/>
        <v>2.5733574518780462E-2</v>
      </c>
      <c r="C7" s="66">
        <f ca="1">FORECAST(A7,OFFSET(OpCurve!$G$4:$G$25,MATCH(A7,OpCurve!$A$4:$A$25)-1,0,2,1),OFFSET(OpCurve!$A$4:$A$25,MATCH(A7,OpCurve!$A$4:$A$25)-1,0,2,1))</f>
        <v>1.3713945518236685</v>
      </c>
      <c r="D7" s="44">
        <f t="shared" ca="1" si="1"/>
        <v>3.5290883894003908E-2</v>
      </c>
      <c r="G7" s="55">
        <f ca="1">G4*365*24/1000</f>
        <v>115.46624468000488</v>
      </c>
    </row>
    <row r="8" spans="1:7" ht="24" customHeight="1" x14ac:dyDescent="0.2">
      <c r="A8" s="46">
        <v>5.5</v>
      </c>
      <c r="B8" s="44">
        <f t="shared" si="0"/>
        <v>4.8736482969393979E-2</v>
      </c>
      <c r="C8" s="66">
        <f ca="1">FORECAST(A8,OFFSET(OpCurve!$G$4:$G$25,MATCH(A8,OpCurve!$A$4:$A$25)-1,0,2,1),OFFSET(OpCurve!$A$4:$A$25,MATCH(A8,OpCurve!$A$4:$A$25)-1,0,2,1))</f>
        <v>2.4743150379464067</v>
      </c>
      <c r="D8" s="44">
        <f t="shared" ca="1" si="1"/>
        <v>0.12058941270779047</v>
      </c>
      <c r="G8" s="113" t="s">
        <v>74</v>
      </c>
    </row>
    <row r="9" spans="1:7" ht="24" customHeight="1" x14ac:dyDescent="0.2">
      <c r="A9" s="46">
        <v>6.5</v>
      </c>
      <c r="B9" s="44">
        <f t="shared" si="0"/>
        <v>7.9796041646793853E-2</v>
      </c>
      <c r="C9" s="66">
        <f ca="1">FORECAST(A9,OFFSET(OpCurve!$G$4:$G$25,MATCH(A9,OpCurve!$A$4:$A$25)-1,0,2,1),OFFSET(OpCurve!$A$4:$A$25,MATCH(A9,OpCurve!$A$4:$A$25)-1,0,2,1))</f>
        <v>4.0561352088329663</v>
      </c>
      <c r="D9" s="44">
        <f t="shared" ca="1" si="1"/>
        <v>0.32366353404906228</v>
      </c>
      <c r="G9" s="114"/>
    </row>
    <row r="10" spans="1:7" ht="24" customHeight="1" x14ac:dyDescent="0.2">
      <c r="A10" s="46">
        <v>7.5</v>
      </c>
      <c r="B10" s="44">
        <f t="shared" si="0"/>
        <v>0.11489131985374894</v>
      </c>
      <c r="C10" s="66">
        <f ca="1">FORECAST(A10,OFFSET(OpCurve!$G$4:$G$25,MATCH(A10,OpCurve!$A$4:$A$25)-1,0,2,1),OFFSET(OpCurve!$A$4:$A$25,MATCH(A10,OpCurve!$A$4:$A$25)-1,0,2,1))</f>
        <v>6.2039277344404056</v>
      </c>
      <c r="D10" s="44">
        <f t="shared" ca="1" si="1"/>
        <v>0.71277744568713663</v>
      </c>
      <c r="G10" s="67">
        <f ca="1">G4/OpCurve!$G$17</f>
        <v>0.52562569313584839</v>
      </c>
    </row>
    <row r="11" spans="1:7" ht="24" customHeight="1" x14ac:dyDescent="0.2">
      <c r="A11" s="46">
        <v>8.5</v>
      </c>
      <c r="B11" s="44">
        <f t="shared" si="0"/>
        <v>0.14562859531396546</v>
      </c>
      <c r="C11" s="66">
        <f ca="1">FORECAST(A11,OFFSET(OpCurve!$G$4:$G$25,MATCH(A11,OpCurve!$A$4:$A$25)-1,0,2,1),OFFSET(OpCurve!$A$4:$A$25,MATCH(A11,OpCurve!$A$4:$A$25)-1,0,2,1))</f>
        <v>9.0047652847257815</v>
      </c>
      <c r="D11" s="44">
        <f t="shared" ca="1" si="1"/>
        <v>1.3113513195465758</v>
      </c>
    </row>
    <row r="12" spans="1:7" ht="24" customHeight="1" x14ac:dyDescent="0.2">
      <c r="A12" s="46">
        <v>9.5</v>
      </c>
      <c r="B12" s="44">
        <f t="shared" si="0"/>
        <v>0.16095621971525606</v>
      </c>
      <c r="C12" s="66">
        <f ca="1">FORECAST(A12,OFFSET(OpCurve!$G$4:$G$25,MATCH(A12,OpCurve!$A$4:$A$25)-1,0,2,1),OFFSET(OpCurve!$A$4:$A$25,MATCH(A12,OpCurve!$A$4:$A$25)-1,0,2,1))</f>
        <v>12.545720529646154</v>
      </c>
      <c r="D12" s="44">
        <f t="shared" ca="1" si="1"/>
        <v>2.019311750055925</v>
      </c>
      <c r="F12" s="115" t="s">
        <v>86</v>
      </c>
      <c r="G12" s="116"/>
    </row>
    <row r="13" spans="1:7" ht="24" customHeight="1" x14ac:dyDescent="0.2">
      <c r="A13" s="46">
        <v>10.5</v>
      </c>
      <c r="B13" s="44">
        <f t="shared" si="0"/>
        <v>0.15240485420742428</v>
      </c>
      <c r="C13" s="66">
        <f ca="1">FORECAST(A13,OFFSET(OpCurve!$G$4:$G$25,MATCH(A13,OpCurve!$A$4:$A$25)-1,0,2,1),OFFSET(OpCurve!$A$4:$A$25,MATCH(A13,OpCurve!$A$4:$A$25)-1,0,2,1))</f>
        <v>16.913866139158579</v>
      </c>
      <c r="D13" s="44">
        <f t="shared" ca="1" si="1"/>
        <v>2.5777553030223532</v>
      </c>
      <c r="F13" s="117"/>
      <c r="G13" s="118"/>
    </row>
    <row r="14" spans="1:7" ht="24" customHeight="1" x14ac:dyDescent="0.2">
      <c r="A14" s="46">
        <v>11.5</v>
      </c>
      <c r="B14" s="44">
        <f t="shared" si="0"/>
        <v>0.12064192964196077</v>
      </c>
      <c r="C14" s="66">
        <f ca="1">FORECAST(A14,OFFSET(OpCurve!$G$4:$G$25,MATCH(A14,OpCurve!$A$4:$A$25)-1,0,2,1),OFFSET(OpCurve!$A$4:$A$25,MATCH(A14,OpCurve!$A$4:$A$25)-1,0,2,1))</f>
        <v>22.196274783220119</v>
      </c>
      <c r="D14" s="44">
        <f t="shared" ca="1" si="1"/>
        <v>2.6778014207108698</v>
      </c>
      <c r="F14" s="119"/>
      <c r="G14" s="120"/>
    </row>
    <row r="15" spans="1:7" ht="24" customHeight="1" x14ac:dyDescent="0.2">
      <c r="A15" s="46">
        <v>12.5</v>
      </c>
      <c r="B15" s="44">
        <f t="shared" si="0"/>
        <v>7.743547787565018E-2</v>
      </c>
      <c r="C15" s="66">
        <f ca="1">FORECAST(A15,OFFSET(OpCurve!$G$4:$G$25,MATCH(A15,OpCurve!$A$4:$A$25)-1,0,2,1),OFFSET(OpCurve!$A$4:$A$25,MATCH(A15,OpCurve!$A$4:$A$25)-1,0,2,1))</f>
        <v>25.076928947632794</v>
      </c>
      <c r="D15" s="44">
        <f t="shared" ca="1" si="1"/>
        <v>1.9418439767136708</v>
      </c>
      <c r="F15" s="52" t="s">
        <v>76</v>
      </c>
      <c r="G15" s="68">
        <v>4.3730000000000002</v>
      </c>
    </row>
    <row r="16" spans="1:7" ht="24" customHeight="1" x14ac:dyDescent="0.2">
      <c r="A16" s="46">
        <v>13.5</v>
      </c>
      <c r="B16" s="44">
        <f t="shared" si="0"/>
        <v>3.8866679375888016E-2</v>
      </c>
      <c r="C16" s="66">
        <f ca="1">FORECAST(A16,OFFSET(OpCurve!$G$4:$G$25,MATCH(A16,OpCurve!$A$4:$A$25)-1,0,2,1),OFFSET(OpCurve!$A$4:$A$25,MATCH(A16,OpCurve!$A$4:$A$25)-1,0,2,1))</f>
        <v>25.076928947632794</v>
      </c>
      <c r="D16" s="44">
        <f t="shared" ca="1" si="1"/>
        <v>0.97465695713956868</v>
      </c>
      <c r="F16" s="53" t="s">
        <v>77</v>
      </c>
      <c r="G16" s="69">
        <v>10.26</v>
      </c>
    </row>
    <row r="17" spans="1:4" ht="24" customHeight="1" x14ac:dyDescent="0.2">
      <c r="A17" s="46">
        <v>14.5</v>
      </c>
      <c r="B17" s="44">
        <f t="shared" si="0"/>
        <v>1.4630843770411817E-2</v>
      </c>
      <c r="C17" s="66">
        <f ca="1">FORECAST(A17,OFFSET(OpCurve!$G$4:$G$25,MATCH(A17,OpCurve!$A$4:$A$25)-1,0,2,1),OFFSET(OpCurve!$A$4:$A$25,MATCH(A17,OpCurve!$A$4:$A$25)-1,0,2,1))</f>
        <v>25.076928947632794</v>
      </c>
      <c r="D17" s="44">
        <f t="shared" ca="1" si="1"/>
        <v>0.36689662967453301</v>
      </c>
    </row>
    <row r="18" spans="1:4" ht="24" customHeight="1" x14ac:dyDescent="0.2">
      <c r="A18" s="46">
        <v>15.5</v>
      </c>
      <c r="B18" s="44">
        <f t="shared" si="0"/>
        <v>3.9402061196213154E-3</v>
      </c>
      <c r="C18" s="66">
        <f ca="1">FORECAST(A18,OFFSET(OpCurve!$G$4:$G$25,MATCH(A18,OpCurve!$A$4:$A$25)-1,0,2,1),OFFSET(OpCurve!$A$4:$A$25,MATCH(A18,OpCurve!$A$4:$A$25)-1,0,2,1))</f>
        <v>25.076928947632794</v>
      </c>
      <c r="D18" s="44">
        <f t="shared" ca="1" si="1"/>
        <v>9.8808268900771642E-2</v>
      </c>
    </row>
    <row r="19" spans="1:4" ht="24" customHeight="1" x14ac:dyDescent="0.2">
      <c r="A19" s="46">
        <v>16.5</v>
      </c>
      <c r="B19" s="44">
        <f t="shared" si="0"/>
        <v>7.2025256975461003E-4</v>
      </c>
      <c r="C19" s="66">
        <f ca="1">FORECAST(A19,OFFSET(OpCurve!$G$4:$G$25,MATCH(A19,OpCurve!$A$4:$A$25)-1,0,2,1),OFFSET(OpCurve!$A$4:$A$25,MATCH(A19,OpCurve!$A$4:$A$25)-1,0,2,1))</f>
        <v>25.076928947632794</v>
      </c>
      <c r="D19" s="44">
        <f t="shared" ca="1" si="1"/>
        <v>1.8061722516086287E-2</v>
      </c>
    </row>
    <row r="20" spans="1:4" ht="24" customHeight="1" x14ac:dyDescent="0.2">
      <c r="A20" s="46">
        <v>17.5</v>
      </c>
      <c r="B20" s="44">
        <f t="shared" si="0"/>
        <v>8.4328581225777587E-5</v>
      </c>
      <c r="C20" s="66">
        <f ca="1">FORECAST(A20,OFFSET(OpCurve!$G$4:$G$25,MATCH(A20,OpCurve!$A$4:$A$25)-1,0,2,1),OFFSET(OpCurve!$A$4:$A$25,MATCH(A20,OpCurve!$A$4:$A$25)-1,0,2,1))</f>
        <v>25.076928947632794</v>
      </c>
      <c r="D20" s="44">
        <f t="shared" ca="1" si="1"/>
        <v>2.1147018396535052E-3</v>
      </c>
    </row>
    <row r="21" spans="1:4" ht="24" customHeight="1" x14ac:dyDescent="0.2">
      <c r="A21" s="46">
        <v>18.5</v>
      </c>
      <c r="B21" s="44">
        <f t="shared" si="0"/>
        <v>5.9351033600187783E-6</v>
      </c>
      <c r="C21" s="66">
        <f ca="1">FORECAST(A21,OFFSET(OpCurve!$G$4:$G$25,MATCH(A21,OpCurve!$A$4:$A$25)-1,0,2,1),OFFSET(OpCurve!$A$4:$A$25,MATCH(A21,OpCurve!$A$4:$A$25)-1,0,2,1))</f>
        <v>25.076928947632794</v>
      </c>
      <c r="D21" s="44">
        <f t="shared" ca="1" si="1"/>
        <v>1.4883416525604757E-4</v>
      </c>
    </row>
    <row r="22" spans="1:4" ht="24" customHeight="1" x14ac:dyDescent="0.2">
      <c r="A22" s="46">
        <v>19.5</v>
      </c>
      <c r="B22" s="44">
        <f t="shared" si="0"/>
        <v>2.3436443464375818E-7</v>
      </c>
      <c r="C22" s="66">
        <f ca="1">FORECAST(A22,OFFSET(OpCurve!$G$4:$G$25,MATCH(A22,OpCurve!$A$4:$A$25)-1,0,2,1),OFFSET(OpCurve!$A$4:$A$25,MATCH(A22,OpCurve!$A$4:$A$25)-1,0,2,1))</f>
        <v>25.076928947632794</v>
      </c>
      <c r="D22" s="44">
        <f t="shared" ca="1" si="1"/>
        <v>5.8771402754136533E-6</v>
      </c>
    </row>
    <row r="23" spans="1:4" ht="24" customHeight="1" x14ac:dyDescent="0.2">
      <c r="A23" s="46">
        <v>20.5</v>
      </c>
      <c r="B23" s="44">
        <f t="shared" si="0"/>
        <v>4.8193589044753146E-9</v>
      </c>
      <c r="C23" s="66">
        <f ca="1">FORECAST(A23,OFFSET(OpCurve!$G$4:$G$25,MATCH(A23,OpCurve!$A$4:$A$25)-1,0,2,1),OFFSET(OpCurve!$A$4:$A$25,MATCH(A23,OpCurve!$A$4:$A$25)-1,0,2,1))</f>
        <v>25.076928947632794</v>
      </c>
      <c r="D23" s="44">
        <f t="shared" ca="1" si="1"/>
        <v>1.2085472082066888E-7</v>
      </c>
    </row>
    <row r="24" spans="1:4" ht="24" customHeight="1" x14ac:dyDescent="0.2">
      <c r="A24" s="46">
        <v>21.5</v>
      </c>
      <c r="B24" s="44">
        <f t="shared" si="0"/>
        <v>4.7631129892266634E-11</v>
      </c>
      <c r="C24" s="66">
        <f ca="1">FORECAST(A24,OFFSET(OpCurve!$G$4:$G$25,MATCH(A24,OpCurve!$A$4:$A$25)-1,0,2,1),OFFSET(OpCurve!$A$4:$A$25,MATCH(A24,OpCurve!$A$4:$A$25)-1,0,2,1))</f>
        <v>25.076928947632794</v>
      </c>
      <c r="D24" s="44">
        <f ca="1">C24*B24</f>
        <v>1.1944424600038388E-9</v>
      </c>
    </row>
    <row r="25" spans="1:4" ht="24" customHeight="1" x14ac:dyDescent="0.2">
      <c r="A25" s="46">
        <v>22.5</v>
      </c>
      <c r="B25" s="44">
        <f t="shared" si="0"/>
        <v>2.0762432343299562E-13</v>
      </c>
      <c r="C25" s="66">
        <f ca="1">FORECAST(A25,OFFSET(OpCurve!$G$4:$G$25,MATCH(A25,OpCurve!$A$4:$A$25)-1,0,2,1),OFFSET(OpCurve!$A$4:$A$25,MATCH(A25,OpCurve!$A$4:$A$25)-1,0,2,1))</f>
        <v>25.076928947632794</v>
      </c>
      <c r="D25" s="44">
        <f t="shared" ref="D25:D26" ca="1" si="2">C25*B25</f>
        <v>5.2065804065295619E-12</v>
      </c>
    </row>
    <row r="26" spans="1:4" ht="24" customHeight="1" x14ac:dyDescent="0.2">
      <c r="A26" s="46">
        <v>23.5</v>
      </c>
      <c r="B26" s="44">
        <f t="shared" si="0"/>
        <v>3.6417470331241043E-16</v>
      </c>
      <c r="C26" s="66">
        <f ca="1">FORECAST(A26,OFFSET(OpCurve!$G$4:$G$25,MATCH(A26,OpCurve!$A$4:$A$25)-1,0,2,1),OFFSET(OpCurve!$A$4:$A$25,MATCH(A26,OpCurve!$A$4:$A$25)-1,0,2,1))</f>
        <v>25.076928947632794</v>
      </c>
      <c r="D26" s="44">
        <f t="shared" ca="1" si="2"/>
        <v>9.1323831594905691E-15</v>
      </c>
    </row>
    <row r="27" spans="1:4" ht="24" customHeight="1" x14ac:dyDescent="0.2">
      <c r="A27" s="46">
        <v>24.5</v>
      </c>
      <c r="B27" s="44">
        <f t="shared" si="0"/>
        <v>2.3312305027738533E-19</v>
      </c>
      <c r="C27" s="66">
        <f ca="1">FORECAST(A27,OFFSET(OpCurve!$G$4:$G$25,MATCH(A27,OpCurve!$A$4:$A$25)-1,0,2,1),OFFSET(OpCurve!$A$4:$A$25,MATCH(A27,OpCurve!$A$4:$A$25)-1,0,2,1))</f>
        <v>25.076928947632794</v>
      </c>
      <c r="D27" s="44">
        <f ca="1">C27*B27</f>
        <v>5.8460101678614193E-18</v>
      </c>
    </row>
  </sheetData>
  <mergeCells count="4">
    <mergeCell ref="G8:G9"/>
    <mergeCell ref="F12:G14"/>
    <mergeCell ref="G2:G3"/>
    <mergeCell ref="G5:G6"/>
  </mergeCells>
  <phoneticPr fontId="1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BLD</vt:lpstr>
      <vt:lpstr>ARFL DTU</vt:lpstr>
      <vt:lpstr>ARFL</vt:lpstr>
      <vt:lpstr>Performance</vt:lpstr>
      <vt:lpstr>TipLoss</vt:lpstr>
      <vt:lpstr>OpCurve DTU</vt:lpstr>
      <vt:lpstr>OpCurve</vt:lpstr>
      <vt:lpstr>WindDist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Xiaosheng Chen</dc:creator>
  <cp:lastModifiedBy>Frederick Goodfellow</cp:lastModifiedBy>
  <dcterms:created xsi:type="dcterms:W3CDTF">2015-06-05T18:17:20Z</dcterms:created>
  <dcterms:modified xsi:type="dcterms:W3CDTF">2025-01-29T12:45:17Z</dcterms:modified>
</cp:coreProperties>
</file>